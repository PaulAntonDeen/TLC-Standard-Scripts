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/>
  <mc:AlternateContent xmlns:mc="http://schemas.openxmlformats.org/markup-compatibility/2006">
    <mc:Choice Requires="x15">
      <x15ac:absPath xmlns:x15ac="http://schemas.microsoft.com/office/spreadsheetml/2010/11/ac" url="C:\Users\Paul\Documents\Custom Office Templates\"/>
    </mc:Choice>
  </mc:AlternateContent>
  <xr:revisionPtr revIDLastSave="0" documentId="8_{AD1574A2-10D0-4977-85EC-17E445B980A8}" xr6:coauthVersionLast="46" xr6:coauthVersionMax="46" xr10:uidLastSave="{00000000-0000-0000-0000-000000000000}"/>
  <bookViews>
    <workbookView xWindow="-108" yWindow="-108" windowWidth="30936" windowHeight="18816" tabRatio="847" activeTab="4" xr2:uid="{00000000-000D-0000-FFFF-FFFF00000000}"/>
  </bookViews>
  <sheets>
    <sheet name="Sample Size for Mean" sheetId="1" r:id="rId1"/>
    <sheet name="Sample Size for Std. Dev." sheetId="4" r:id="rId2"/>
    <sheet name="Sample Size for P(defective)" sheetId="2" r:id="rId3"/>
    <sheet name="Sample Size for DPU (defects)" sheetId="3" r:id="rId4"/>
    <sheet name="Proving MTBF" sheetId="5" r:id="rId5"/>
  </sheets>
  <definedNames>
    <definedName name="solver_adj" localSheetId="2" hidden="1">'Sample Size for P(defective)'!#REF!</definedName>
    <definedName name="solver_cvg" localSheetId="2" hidden="1">0.0001</definedName>
    <definedName name="solver_drv" localSheetId="2" hidden="1">1</definedName>
    <definedName name="solver_est" localSheetId="2" hidden="1">1</definedName>
    <definedName name="solver_itr" localSheetId="2" hidden="1">100</definedName>
    <definedName name="solver_lin" localSheetId="2" hidden="1">2</definedName>
    <definedName name="solver_neg" localSheetId="2" hidden="1">2</definedName>
    <definedName name="solver_num" localSheetId="2" hidden="1">0</definedName>
    <definedName name="solver_nwt" localSheetId="2" hidden="1">1</definedName>
    <definedName name="solver_opt" localSheetId="2" hidden="1">'Sample Size for P(defective)'!#REF!</definedName>
    <definedName name="solver_pre" localSheetId="2" hidden="1">0.000001</definedName>
    <definedName name="solver_scl" localSheetId="2" hidden="1">2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3</definedName>
    <definedName name="solver_val" localSheetId="2" hidden="1">0.05</definedName>
  </definedNames>
  <calcPr calcId="181029" concurrentCalc="0"/>
</workbook>
</file>

<file path=xl/calcChain.xml><?xml version="1.0" encoding="utf-8"?>
<calcChain xmlns="http://schemas.openxmlformats.org/spreadsheetml/2006/main">
  <c r="B6" i="5" l="1"/>
  <c r="B15" i="5"/>
  <c r="C15" i="5"/>
  <c r="B22" i="5"/>
  <c r="C22" i="5"/>
  <c r="B17" i="5"/>
  <c r="C17" i="5"/>
  <c r="B11" i="5"/>
  <c r="C11" i="5"/>
  <c r="B19" i="5"/>
  <c r="C19" i="5"/>
  <c r="B13" i="5"/>
  <c r="C13" i="5"/>
  <c r="B21" i="5"/>
  <c r="C21" i="5"/>
  <c r="B10" i="5"/>
  <c r="C10" i="5"/>
  <c r="B12" i="5"/>
  <c r="C12" i="5"/>
  <c r="B14" i="5"/>
  <c r="C14" i="5"/>
  <c r="B16" i="5"/>
  <c r="C16" i="5"/>
  <c r="B18" i="5"/>
  <c r="C18" i="5"/>
  <c r="B20" i="5"/>
  <c r="C20" i="5"/>
  <c r="C11" i="1"/>
  <c r="B17" i="3"/>
  <c r="B53" i="2"/>
  <c r="B17" i="4"/>
  <c r="J15" i="4"/>
  <c r="L16" i="4"/>
  <c r="M16" i="4"/>
  <c r="C11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5" i="4"/>
  <c r="M25" i="4"/>
  <c r="N25" i="4"/>
  <c r="L26" i="4"/>
  <c r="M26" i="4"/>
  <c r="N26" i="4"/>
  <c r="L27" i="4"/>
  <c r="M27" i="4"/>
  <c r="N27" i="4"/>
  <c r="L28" i="4"/>
  <c r="M28" i="4"/>
  <c r="N28" i="4"/>
  <c r="L30" i="4"/>
  <c r="M30" i="4"/>
  <c r="N30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8" i="4"/>
  <c r="M38" i="4"/>
  <c r="N38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6" i="4"/>
  <c r="M46" i="4"/>
  <c r="N46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4" i="4"/>
  <c r="M54" i="4"/>
  <c r="N54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2" i="4"/>
  <c r="M62" i="4"/>
  <c r="N62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70" i="4"/>
  <c r="M70" i="4"/>
  <c r="N70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L204" i="4"/>
  <c r="M204" i="4"/>
  <c r="N204" i="4"/>
  <c r="L205" i="4"/>
  <c r="M205" i="4"/>
  <c r="N205" i="4"/>
  <c r="L206" i="4"/>
  <c r="M206" i="4"/>
  <c r="N206" i="4"/>
  <c r="L207" i="4"/>
  <c r="M207" i="4"/>
  <c r="N207" i="4"/>
  <c r="L208" i="4"/>
  <c r="M208" i="4"/>
  <c r="N208" i="4"/>
  <c r="L209" i="4"/>
  <c r="M209" i="4"/>
  <c r="N209" i="4"/>
  <c r="L210" i="4"/>
  <c r="M210" i="4"/>
  <c r="N210" i="4"/>
  <c r="L211" i="4"/>
  <c r="M211" i="4"/>
  <c r="N211" i="4"/>
  <c r="L212" i="4"/>
  <c r="M212" i="4"/>
  <c r="N212" i="4"/>
  <c r="L213" i="4"/>
  <c r="M213" i="4"/>
  <c r="N213" i="4"/>
  <c r="L214" i="4"/>
  <c r="M214" i="4"/>
  <c r="N214" i="4"/>
  <c r="L215" i="4"/>
  <c r="M215" i="4"/>
  <c r="N215" i="4"/>
  <c r="L216" i="4"/>
  <c r="M216" i="4"/>
  <c r="N216" i="4"/>
  <c r="L217" i="4"/>
  <c r="M217" i="4"/>
  <c r="N217" i="4"/>
  <c r="L218" i="4"/>
  <c r="M218" i="4"/>
  <c r="N218" i="4"/>
  <c r="L219" i="4"/>
  <c r="M219" i="4"/>
  <c r="N219" i="4"/>
  <c r="L220" i="4"/>
  <c r="M220" i="4"/>
  <c r="N220" i="4"/>
  <c r="L221" i="4"/>
  <c r="M221" i="4"/>
  <c r="N221" i="4"/>
  <c r="L222" i="4"/>
  <c r="M222" i="4"/>
  <c r="N222" i="4"/>
  <c r="L223" i="4"/>
  <c r="M223" i="4"/>
  <c r="N223" i="4"/>
  <c r="L224" i="4"/>
  <c r="M224" i="4"/>
  <c r="N224" i="4"/>
  <c r="L225" i="4"/>
  <c r="M225" i="4"/>
  <c r="N225" i="4"/>
  <c r="L226" i="4"/>
  <c r="M226" i="4"/>
  <c r="N226" i="4"/>
  <c r="L227" i="4"/>
  <c r="M227" i="4"/>
  <c r="N227" i="4"/>
  <c r="L228" i="4"/>
  <c r="M228" i="4"/>
  <c r="N228" i="4"/>
  <c r="L229" i="4"/>
  <c r="M229" i="4"/>
  <c r="N229" i="4"/>
  <c r="L230" i="4"/>
  <c r="M230" i="4"/>
  <c r="N230" i="4"/>
  <c r="L231" i="4"/>
  <c r="M231" i="4"/>
  <c r="N231" i="4"/>
  <c r="L232" i="4"/>
  <c r="M232" i="4"/>
  <c r="N232" i="4"/>
  <c r="L233" i="4"/>
  <c r="M233" i="4"/>
  <c r="N233" i="4"/>
  <c r="L234" i="4"/>
  <c r="M234" i="4"/>
  <c r="N234" i="4"/>
  <c r="L235" i="4"/>
  <c r="M235" i="4"/>
  <c r="N235" i="4"/>
  <c r="L236" i="4"/>
  <c r="M236" i="4"/>
  <c r="N236" i="4"/>
  <c r="L237" i="4"/>
  <c r="M237" i="4"/>
  <c r="N237" i="4"/>
  <c r="L238" i="4"/>
  <c r="M238" i="4"/>
  <c r="N238" i="4"/>
  <c r="L239" i="4"/>
  <c r="M239" i="4"/>
  <c r="N239" i="4"/>
  <c r="L240" i="4"/>
  <c r="M240" i="4"/>
  <c r="N240" i="4"/>
  <c r="L241" i="4"/>
  <c r="M241" i="4"/>
  <c r="N241" i="4"/>
  <c r="L242" i="4"/>
  <c r="M242" i="4"/>
  <c r="N242" i="4"/>
  <c r="L243" i="4"/>
  <c r="M243" i="4"/>
  <c r="N243" i="4"/>
  <c r="L244" i="4"/>
  <c r="M244" i="4"/>
  <c r="N244" i="4"/>
  <c r="L245" i="4"/>
  <c r="M245" i="4"/>
  <c r="N245" i="4"/>
  <c r="L246" i="4"/>
  <c r="M246" i="4"/>
  <c r="N246" i="4"/>
  <c r="L247" i="4"/>
  <c r="M247" i="4"/>
  <c r="N247" i="4"/>
  <c r="L248" i="4"/>
  <c r="M248" i="4"/>
  <c r="N248" i="4"/>
  <c r="L249" i="4"/>
  <c r="M249" i="4"/>
  <c r="N249" i="4"/>
  <c r="L250" i="4"/>
  <c r="M250" i="4"/>
  <c r="N250" i="4"/>
  <c r="L251" i="4"/>
  <c r="M251" i="4"/>
  <c r="N251" i="4"/>
  <c r="L252" i="4"/>
  <c r="M252" i="4"/>
  <c r="N252" i="4"/>
  <c r="L253" i="4"/>
  <c r="M253" i="4"/>
  <c r="N253" i="4"/>
  <c r="L254" i="4"/>
  <c r="M254" i="4"/>
  <c r="N254" i="4"/>
  <c r="L255" i="4"/>
  <c r="M255" i="4"/>
  <c r="N255" i="4"/>
  <c r="L256" i="4"/>
  <c r="M256" i="4"/>
  <c r="N256" i="4"/>
  <c r="L257" i="4"/>
  <c r="M257" i="4"/>
  <c r="N257" i="4"/>
  <c r="L258" i="4"/>
  <c r="M258" i="4"/>
  <c r="N258" i="4"/>
  <c r="L259" i="4"/>
  <c r="M259" i="4"/>
  <c r="N259" i="4"/>
  <c r="L260" i="4"/>
  <c r="M260" i="4"/>
  <c r="N260" i="4"/>
  <c r="L261" i="4"/>
  <c r="M261" i="4"/>
  <c r="N261" i="4"/>
  <c r="L262" i="4"/>
  <c r="M262" i="4"/>
  <c r="N262" i="4"/>
  <c r="L263" i="4"/>
  <c r="M263" i="4"/>
  <c r="N263" i="4"/>
  <c r="L264" i="4"/>
  <c r="M264" i="4"/>
  <c r="N264" i="4"/>
  <c r="L265" i="4"/>
  <c r="M265" i="4"/>
  <c r="N265" i="4"/>
  <c r="L266" i="4"/>
  <c r="M266" i="4"/>
  <c r="N266" i="4"/>
  <c r="L267" i="4"/>
  <c r="M267" i="4"/>
  <c r="N267" i="4"/>
  <c r="L268" i="4"/>
  <c r="M268" i="4"/>
  <c r="N268" i="4"/>
  <c r="L269" i="4"/>
  <c r="M269" i="4"/>
  <c r="N269" i="4"/>
  <c r="L270" i="4"/>
  <c r="M270" i="4"/>
  <c r="N270" i="4"/>
  <c r="L271" i="4"/>
  <c r="M271" i="4"/>
  <c r="N271" i="4"/>
  <c r="L272" i="4"/>
  <c r="M272" i="4"/>
  <c r="N272" i="4"/>
  <c r="L273" i="4"/>
  <c r="M273" i="4"/>
  <c r="N273" i="4"/>
  <c r="L274" i="4"/>
  <c r="M274" i="4"/>
  <c r="N274" i="4"/>
  <c r="L275" i="4"/>
  <c r="M275" i="4"/>
  <c r="N275" i="4"/>
  <c r="L276" i="4"/>
  <c r="M276" i="4"/>
  <c r="N276" i="4"/>
  <c r="L277" i="4"/>
  <c r="M277" i="4"/>
  <c r="N277" i="4"/>
  <c r="L278" i="4"/>
  <c r="M278" i="4"/>
  <c r="N278" i="4"/>
  <c r="L279" i="4"/>
  <c r="M279" i="4"/>
  <c r="N279" i="4"/>
  <c r="L280" i="4"/>
  <c r="M280" i="4"/>
  <c r="N280" i="4"/>
  <c r="L281" i="4"/>
  <c r="M281" i="4"/>
  <c r="N281" i="4"/>
  <c r="L282" i="4"/>
  <c r="M282" i="4"/>
  <c r="N282" i="4"/>
  <c r="L283" i="4"/>
  <c r="M283" i="4"/>
  <c r="N283" i="4"/>
  <c r="L284" i="4"/>
  <c r="M284" i="4"/>
  <c r="N284" i="4"/>
  <c r="L285" i="4"/>
  <c r="M285" i="4"/>
  <c r="N285" i="4"/>
  <c r="L286" i="4"/>
  <c r="M286" i="4"/>
  <c r="N286" i="4"/>
  <c r="L287" i="4"/>
  <c r="M287" i="4"/>
  <c r="N287" i="4"/>
  <c r="L288" i="4"/>
  <c r="M288" i="4"/>
  <c r="N288" i="4"/>
  <c r="L289" i="4"/>
  <c r="M289" i="4"/>
  <c r="N289" i="4"/>
  <c r="L290" i="4"/>
  <c r="M290" i="4"/>
  <c r="N290" i="4"/>
  <c r="L291" i="4"/>
  <c r="M291" i="4"/>
  <c r="N291" i="4"/>
  <c r="L292" i="4"/>
  <c r="M292" i="4"/>
  <c r="N292" i="4"/>
  <c r="L293" i="4"/>
  <c r="M293" i="4"/>
  <c r="N293" i="4"/>
  <c r="L294" i="4"/>
  <c r="M294" i="4"/>
  <c r="N294" i="4"/>
  <c r="L295" i="4"/>
  <c r="M295" i="4"/>
  <c r="N295" i="4"/>
  <c r="L296" i="4"/>
  <c r="M296" i="4"/>
  <c r="N296" i="4"/>
  <c r="L297" i="4"/>
  <c r="M297" i="4"/>
  <c r="N297" i="4"/>
  <c r="L298" i="4"/>
  <c r="M298" i="4"/>
  <c r="N298" i="4"/>
  <c r="L299" i="4"/>
  <c r="M299" i="4"/>
  <c r="N299" i="4"/>
  <c r="L300" i="4"/>
  <c r="M300" i="4"/>
  <c r="N300" i="4"/>
  <c r="L301" i="4"/>
  <c r="M301" i="4"/>
  <c r="N301" i="4"/>
  <c r="L302" i="4"/>
  <c r="M302" i="4"/>
  <c r="N302" i="4"/>
  <c r="L303" i="4"/>
  <c r="M303" i="4"/>
  <c r="N303" i="4"/>
  <c r="L304" i="4"/>
  <c r="M304" i="4"/>
  <c r="N304" i="4"/>
  <c r="L305" i="4"/>
  <c r="M305" i="4"/>
  <c r="N305" i="4"/>
  <c r="L306" i="4"/>
  <c r="M306" i="4"/>
  <c r="N306" i="4"/>
  <c r="L307" i="4"/>
  <c r="M307" i="4"/>
  <c r="N307" i="4"/>
  <c r="L308" i="4"/>
  <c r="M308" i="4"/>
  <c r="N308" i="4"/>
  <c r="L309" i="4"/>
  <c r="M309" i="4"/>
  <c r="N309" i="4"/>
  <c r="L310" i="4"/>
  <c r="M310" i="4"/>
  <c r="N310" i="4"/>
  <c r="L311" i="4"/>
  <c r="M311" i="4"/>
  <c r="N311" i="4"/>
  <c r="L312" i="4"/>
  <c r="M312" i="4"/>
  <c r="N312" i="4"/>
  <c r="L313" i="4"/>
  <c r="M313" i="4"/>
  <c r="N313" i="4"/>
  <c r="L314" i="4"/>
  <c r="M314" i="4"/>
  <c r="N314" i="4"/>
  <c r="L315" i="4"/>
  <c r="M315" i="4"/>
  <c r="N315" i="4"/>
  <c r="L316" i="4"/>
  <c r="M316" i="4"/>
  <c r="N316" i="4"/>
  <c r="L317" i="4"/>
  <c r="M317" i="4"/>
  <c r="N317" i="4"/>
  <c r="L318" i="4"/>
  <c r="M318" i="4"/>
  <c r="N318" i="4"/>
  <c r="L319" i="4"/>
  <c r="M319" i="4"/>
  <c r="N319" i="4"/>
  <c r="L320" i="4"/>
  <c r="M320" i="4"/>
  <c r="N320" i="4"/>
  <c r="L321" i="4"/>
  <c r="M321" i="4"/>
  <c r="N321" i="4"/>
  <c r="L322" i="4"/>
  <c r="M322" i="4"/>
  <c r="N322" i="4"/>
  <c r="L323" i="4"/>
  <c r="M323" i="4"/>
  <c r="N323" i="4"/>
  <c r="L324" i="4"/>
  <c r="M324" i="4"/>
  <c r="N324" i="4"/>
  <c r="L325" i="4"/>
  <c r="M325" i="4"/>
  <c r="N325" i="4"/>
  <c r="L326" i="4"/>
  <c r="M326" i="4"/>
  <c r="N326" i="4"/>
  <c r="L327" i="4"/>
  <c r="M327" i="4"/>
  <c r="N327" i="4"/>
  <c r="L328" i="4"/>
  <c r="M328" i="4"/>
  <c r="N328" i="4"/>
  <c r="L329" i="4"/>
  <c r="M329" i="4"/>
  <c r="N329" i="4"/>
  <c r="L330" i="4"/>
  <c r="M330" i="4"/>
  <c r="N330" i="4"/>
  <c r="L331" i="4"/>
  <c r="M331" i="4"/>
  <c r="N331" i="4"/>
  <c r="L332" i="4"/>
  <c r="M332" i="4"/>
  <c r="N332" i="4"/>
  <c r="L333" i="4"/>
  <c r="M333" i="4"/>
  <c r="N333" i="4"/>
  <c r="L334" i="4"/>
  <c r="M334" i="4"/>
  <c r="N334" i="4"/>
  <c r="L335" i="4"/>
  <c r="M335" i="4"/>
  <c r="N335" i="4"/>
  <c r="L336" i="4"/>
  <c r="M336" i="4"/>
  <c r="N336" i="4"/>
  <c r="L337" i="4"/>
  <c r="M337" i="4"/>
  <c r="N337" i="4"/>
  <c r="L338" i="4"/>
  <c r="M338" i="4"/>
  <c r="N338" i="4"/>
  <c r="L339" i="4"/>
  <c r="M339" i="4"/>
  <c r="N339" i="4"/>
  <c r="L340" i="4"/>
  <c r="M340" i="4"/>
  <c r="N340" i="4"/>
  <c r="L341" i="4"/>
  <c r="M341" i="4"/>
  <c r="N341" i="4"/>
  <c r="L342" i="4"/>
  <c r="M342" i="4"/>
  <c r="N342" i="4"/>
  <c r="L343" i="4"/>
  <c r="M343" i="4"/>
  <c r="N343" i="4"/>
  <c r="L344" i="4"/>
  <c r="M344" i="4"/>
  <c r="N344" i="4"/>
  <c r="L345" i="4"/>
  <c r="M345" i="4"/>
  <c r="N345" i="4"/>
  <c r="L346" i="4"/>
  <c r="M346" i="4"/>
  <c r="N346" i="4"/>
  <c r="L347" i="4"/>
  <c r="M347" i="4"/>
  <c r="N347" i="4"/>
  <c r="L348" i="4"/>
  <c r="M348" i="4"/>
  <c r="N348" i="4"/>
  <c r="L349" i="4"/>
  <c r="M349" i="4"/>
  <c r="N349" i="4"/>
  <c r="L350" i="4"/>
  <c r="M350" i="4"/>
  <c r="N350" i="4"/>
  <c r="L351" i="4"/>
  <c r="M351" i="4"/>
  <c r="N351" i="4"/>
  <c r="L352" i="4"/>
  <c r="M352" i="4"/>
  <c r="N352" i="4"/>
  <c r="L353" i="4"/>
  <c r="M353" i="4"/>
  <c r="N353" i="4"/>
  <c r="L354" i="4"/>
  <c r="M354" i="4"/>
  <c r="N354" i="4"/>
  <c r="L355" i="4"/>
  <c r="M355" i="4"/>
  <c r="N355" i="4"/>
  <c r="L356" i="4"/>
  <c r="M356" i="4"/>
  <c r="N356" i="4"/>
  <c r="L357" i="4"/>
  <c r="M357" i="4"/>
  <c r="N357" i="4"/>
  <c r="L358" i="4"/>
  <c r="M358" i="4"/>
  <c r="N358" i="4"/>
  <c r="L359" i="4"/>
  <c r="M359" i="4"/>
  <c r="N359" i="4"/>
  <c r="L360" i="4"/>
  <c r="M360" i="4"/>
  <c r="N360" i="4"/>
  <c r="L361" i="4"/>
  <c r="M361" i="4"/>
  <c r="N361" i="4"/>
  <c r="L362" i="4"/>
  <c r="M362" i="4"/>
  <c r="N362" i="4"/>
  <c r="L363" i="4"/>
  <c r="M363" i="4"/>
  <c r="N363" i="4"/>
  <c r="L364" i="4"/>
  <c r="M364" i="4"/>
  <c r="N364" i="4"/>
  <c r="L365" i="4"/>
  <c r="M365" i="4"/>
  <c r="N365" i="4"/>
  <c r="L366" i="4"/>
  <c r="M366" i="4"/>
  <c r="N366" i="4"/>
  <c r="L367" i="4"/>
  <c r="M367" i="4"/>
  <c r="N367" i="4"/>
  <c r="L368" i="4"/>
  <c r="M368" i="4"/>
  <c r="N368" i="4"/>
  <c r="L369" i="4"/>
  <c r="M369" i="4"/>
  <c r="N369" i="4"/>
  <c r="L370" i="4"/>
  <c r="M370" i="4"/>
  <c r="N370" i="4"/>
  <c r="L371" i="4"/>
  <c r="M371" i="4"/>
  <c r="N371" i="4"/>
  <c r="L372" i="4"/>
  <c r="M372" i="4"/>
  <c r="N372" i="4"/>
  <c r="L373" i="4"/>
  <c r="M373" i="4"/>
  <c r="N373" i="4"/>
  <c r="L374" i="4"/>
  <c r="M374" i="4"/>
  <c r="N374" i="4"/>
  <c r="L375" i="4"/>
  <c r="M375" i="4"/>
  <c r="N375" i="4"/>
  <c r="L376" i="4"/>
  <c r="M376" i="4"/>
  <c r="N376" i="4"/>
  <c r="L377" i="4"/>
  <c r="M377" i="4"/>
  <c r="N377" i="4"/>
  <c r="L378" i="4"/>
  <c r="M378" i="4"/>
  <c r="N378" i="4"/>
  <c r="L379" i="4"/>
  <c r="M379" i="4"/>
  <c r="N379" i="4"/>
  <c r="L380" i="4"/>
  <c r="M380" i="4"/>
  <c r="N380" i="4"/>
  <c r="L381" i="4"/>
  <c r="M381" i="4"/>
  <c r="N381" i="4"/>
  <c r="L382" i="4"/>
  <c r="M382" i="4"/>
  <c r="N382" i="4"/>
  <c r="L383" i="4"/>
  <c r="M383" i="4"/>
  <c r="N383" i="4"/>
  <c r="L384" i="4"/>
  <c r="M384" i="4"/>
  <c r="N384" i="4"/>
  <c r="L385" i="4"/>
  <c r="M385" i="4"/>
  <c r="N385" i="4"/>
  <c r="L386" i="4"/>
  <c r="M386" i="4"/>
  <c r="N386" i="4"/>
  <c r="L387" i="4"/>
  <c r="M387" i="4"/>
  <c r="N387" i="4"/>
  <c r="L388" i="4"/>
  <c r="M388" i="4"/>
  <c r="N388" i="4"/>
  <c r="L389" i="4"/>
  <c r="M389" i="4"/>
  <c r="N389" i="4"/>
  <c r="L390" i="4"/>
  <c r="M390" i="4"/>
  <c r="N390" i="4"/>
  <c r="L391" i="4"/>
  <c r="M391" i="4"/>
  <c r="N391" i="4"/>
  <c r="L392" i="4"/>
  <c r="M392" i="4"/>
  <c r="N392" i="4"/>
  <c r="L393" i="4"/>
  <c r="M393" i="4"/>
  <c r="N393" i="4"/>
  <c r="L394" i="4"/>
  <c r="M394" i="4"/>
  <c r="N394" i="4"/>
  <c r="L395" i="4"/>
  <c r="M395" i="4"/>
  <c r="N395" i="4"/>
  <c r="L396" i="4"/>
  <c r="M396" i="4"/>
  <c r="N396" i="4"/>
  <c r="L397" i="4"/>
  <c r="M397" i="4"/>
  <c r="N397" i="4"/>
  <c r="L398" i="4"/>
  <c r="M398" i="4"/>
  <c r="N398" i="4"/>
  <c r="L399" i="4"/>
  <c r="M399" i="4"/>
  <c r="N399" i="4"/>
  <c r="L400" i="4"/>
  <c r="M400" i="4"/>
  <c r="N400" i="4"/>
  <c r="L401" i="4"/>
  <c r="M401" i="4"/>
  <c r="N401" i="4"/>
  <c r="L402" i="4"/>
  <c r="M402" i="4"/>
  <c r="N402" i="4"/>
  <c r="L403" i="4"/>
  <c r="M403" i="4"/>
  <c r="N403" i="4"/>
  <c r="L404" i="4"/>
  <c r="M404" i="4"/>
  <c r="N404" i="4"/>
  <c r="L405" i="4"/>
  <c r="M405" i="4"/>
  <c r="N405" i="4"/>
  <c r="L406" i="4"/>
  <c r="M406" i="4"/>
  <c r="N406" i="4"/>
  <c r="L407" i="4"/>
  <c r="M407" i="4"/>
  <c r="N407" i="4"/>
  <c r="L408" i="4"/>
  <c r="M408" i="4"/>
  <c r="N408" i="4"/>
  <c r="L409" i="4"/>
  <c r="M409" i="4"/>
  <c r="N409" i="4"/>
  <c r="L410" i="4"/>
  <c r="M410" i="4"/>
  <c r="N410" i="4"/>
  <c r="L411" i="4"/>
  <c r="M411" i="4"/>
  <c r="N411" i="4"/>
  <c r="L412" i="4"/>
  <c r="M412" i="4"/>
  <c r="N412" i="4"/>
  <c r="L413" i="4"/>
  <c r="M413" i="4"/>
  <c r="N413" i="4"/>
  <c r="L414" i="4"/>
  <c r="M414" i="4"/>
  <c r="N414" i="4"/>
  <c r="L415" i="4"/>
  <c r="M415" i="4"/>
  <c r="N415" i="4"/>
  <c r="L416" i="4"/>
  <c r="M416" i="4"/>
  <c r="N416" i="4"/>
  <c r="L417" i="4"/>
  <c r="M417" i="4"/>
  <c r="N417" i="4"/>
  <c r="L418" i="4"/>
  <c r="M418" i="4"/>
  <c r="N418" i="4"/>
  <c r="L419" i="4"/>
  <c r="M419" i="4"/>
  <c r="N419" i="4"/>
  <c r="L420" i="4"/>
  <c r="M420" i="4"/>
  <c r="N420" i="4"/>
  <c r="L421" i="4"/>
  <c r="M421" i="4"/>
  <c r="N421" i="4"/>
  <c r="L422" i="4"/>
  <c r="M422" i="4"/>
  <c r="N422" i="4"/>
  <c r="L423" i="4"/>
  <c r="M423" i="4"/>
  <c r="N423" i="4"/>
  <c r="L424" i="4"/>
  <c r="M424" i="4"/>
  <c r="N424" i="4"/>
  <c r="L425" i="4"/>
  <c r="M425" i="4"/>
  <c r="N425" i="4"/>
  <c r="L426" i="4"/>
  <c r="M426" i="4"/>
  <c r="N426" i="4"/>
  <c r="L427" i="4"/>
  <c r="M427" i="4"/>
  <c r="N427" i="4"/>
  <c r="L428" i="4"/>
  <c r="M428" i="4"/>
  <c r="N428" i="4"/>
  <c r="L429" i="4"/>
  <c r="M429" i="4"/>
  <c r="N429" i="4"/>
  <c r="L430" i="4"/>
  <c r="M430" i="4"/>
  <c r="N430" i="4"/>
  <c r="L431" i="4"/>
  <c r="M431" i="4"/>
  <c r="N431" i="4"/>
  <c r="L432" i="4"/>
  <c r="M432" i="4"/>
  <c r="N432" i="4"/>
  <c r="L433" i="4"/>
  <c r="M433" i="4"/>
  <c r="N433" i="4"/>
  <c r="L434" i="4"/>
  <c r="M434" i="4"/>
  <c r="N434" i="4"/>
  <c r="L435" i="4"/>
  <c r="M435" i="4"/>
  <c r="N435" i="4"/>
  <c r="L436" i="4"/>
  <c r="M436" i="4"/>
  <c r="N436" i="4"/>
  <c r="L437" i="4"/>
  <c r="M437" i="4"/>
  <c r="N437" i="4"/>
  <c r="L438" i="4"/>
  <c r="M438" i="4"/>
  <c r="N438" i="4"/>
  <c r="L439" i="4"/>
  <c r="M439" i="4"/>
  <c r="N439" i="4"/>
  <c r="L440" i="4"/>
  <c r="M440" i="4"/>
  <c r="N440" i="4"/>
  <c r="L441" i="4"/>
  <c r="M441" i="4"/>
  <c r="N441" i="4"/>
  <c r="L442" i="4"/>
  <c r="M442" i="4"/>
  <c r="N442" i="4"/>
  <c r="L443" i="4"/>
  <c r="M443" i="4"/>
  <c r="N443" i="4"/>
  <c r="L444" i="4"/>
  <c r="M444" i="4"/>
  <c r="N444" i="4"/>
  <c r="L445" i="4"/>
  <c r="M445" i="4"/>
  <c r="N445" i="4"/>
  <c r="L446" i="4"/>
  <c r="M446" i="4"/>
  <c r="N446" i="4"/>
  <c r="L447" i="4"/>
  <c r="M447" i="4"/>
  <c r="N447" i="4"/>
  <c r="L448" i="4"/>
  <c r="M448" i="4"/>
  <c r="N448" i="4"/>
  <c r="L449" i="4"/>
  <c r="M449" i="4"/>
  <c r="N449" i="4"/>
  <c r="L450" i="4"/>
  <c r="M450" i="4"/>
  <c r="N450" i="4"/>
  <c r="L451" i="4"/>
  <c r="M451" i="4"/>
  <c r="N451" i="4"/>
  <c r="L452" i="4"/>
  <c r="M452" i="4"/>
  <c r="N452" i="4"/>
  <c r="L453" i="4"/>
  <c r="M453" i="4"/>
  <c r="N453" i="4"/>
  <c r="L454" i="4"/>
  <c r="M454" i="4"/>
  <c r="N454" i="4"/>
  <c r="L455" i="4"/>
  <c r="M455" i="4"/>
  <c r="N455" i="4"/>
  <c r="L456" i="4"/>
  <c r="M456" i="4"/>
  <c r="N456" i="4"/>
  <c r="L457" i="4"/>
  <c r="M457" i="4"/>
  <c r="N457" i="4"/>
  <c r="L458" i="4"/>
  <c r="M458" i="4"/>
  <c r="N458" i="4"/>
  <c r="L459" i="4"/>
  <c r="M459" i="4"/>
  <c r="N459" i="4"/>
  <c r="L460" i="4"/>
  <c r="M460" i="4"/>
  <c r="N460" i="4"/>
  <c r="L461" i="4"/>
  <c r="M461" i="4"/>
  <c r="N461" i="4"/>
  <c r="L462" i="4"/>
  <c r="M462" i="4"/>
  <c r="N462" i="4"/>
  <c r="L463" i="4"/>
  <c r="M463" i="4"/>
  <c r="N463" i="4"/>
  <c r="L464" i="4"/>
  <c r="M464" i="4"/>
  <c r="N464" i="4"/>
  <c r="L465" i="4"/>
  <c r="M465" i="4"/>
  <c r="N465" i="4"/>
  <c r="L466" i="4"/>
  <c r="M466" i="4"/>
  <c r="N466" i="4"/>
  <c r="L467" i="4"/>
  <c r="M467" i="4"/>
  <c r="N467" i="4"/>
  <c r="L468" i="4"/>
  <c r="M468" i="4"/>
  <c r="N468" i="4"/>
  <c r="L469" i="4"/>
  <c r="M469" i="4"/>
  <c r="N469" i="4"/>
  <c r="L470" i="4"/>
  <c r="M470" i="4"/>
  <c r="N470" i="4"/>
  <c r="L471" i="4"/>
  <c r="M471" i="4"/>
  <c r="N471" i="4"/>
  <c r="L472" i="4"/>
  <c r="M472" i="4"/>
  <c r="N472" i="4"/>
  <c r="L473" i="4"/>
  <c r="M473" i="4"/>
  <c r="N473" i="4"/>
  <c r="L474" i="4"/>
  <c r="M474" i="4"/>
  <c r="N474" i="4"/>
  <c r="L475" i="4"/>
  <c r="M475" i="4"/>
  <c r="N475" i="4"/>
  <c r="L476" i="4"/>
  <c r="M476" i="4"/>
  <c r="N476" i="4"/>
  <c r="L477" i="4"/>
  <c r="M477" i="4"/>
  <c r="N477" i="4"/>
  <c r="L478" i="4"/>
  <c r="M478" i="4"/>
  <c r="N478" i="4"/>
  <c r="L479" i="4"/>
  <c r="M479" i="4"/>
  <c r="N479" i="4"/>
  <c r="L480" i="4"/>
  <c r="M480" i="4"/>
  <c r="N480" i="4"/>
  <c r="L481" i="4"/>
  <c r="M481" i="4"/>
  <c r="N481" i="4"/>
  <c r="L482" i="4"/>
  <c r="M482" i="4"/>
  <c r="N482" i="4"/>
  <c r="L483" i="4"/>
  <c r="M483" i="4"/>
  <c r="N483" i="4"/>
  <c r="L484" i="4"/>
  <c r="M484" i="4"/>
  <c r="N484" i="4"/>
  <c r="L485" i="4"/>
  <c r="M485" i="4"/>
  <c r="N485" i="4"/>
  <c r="L486" i="4"/>
  <c r="M486" i="4"/>
  <c r="N486" i="4"/>
  <c r="L487" i="4"/>
  <c r="M487" i="4"/>
  <c r="N487" i="4"/>
  <c r="L488" i="4"/>
  <c r="M488" i="4"/>
  <c r="N488" i="4"/>
  <c r="L489" i="4"/>
  <c r="M489" i="4"/>
  <c r="N489" i="4"/>
  <c r="L490" i="4"/>
  <c r="M490" i="4"/>
  <c r="N490" i="4"/>
  <c r="L491" i="4"/>
  <c r="M491" i="4"/>
  <c r="N491" i="4"/>
  <c r="L492" i="4"/>
  <c r="M492" i="4"/>
  <c r="N492" i="4"/>
  <c r="L493" i="4"/>
  <c r="M493" i="4"/>
  <c r="N493" i="4"/>
  <c r="L494" i="4"/>
  <c r="M494" i="4"/>
  <c r="N494" i="4"/>
  <c r="L495" i="4"/>
  <c r="M495" i="4"/>
  <c r="N495" i="4"/>
  <c r="L496" i="4"/>
  <c r="M496" i="4"/>
  <c r="N496" i="4"/>
  <c r="L497" i="4"/>
  <c r="M497" i="4"/>
  <c r="N497" i="4"/>
  <c r="L498" i="4"/>
  <c r="M498" i="4"/>
  <c r="N498" i="4"/>
  <c r="L499" i="4"/>
  <c r="M499" i="4"/>
  <c r="N499" i="4"/>
  <c r="L500" i="4"/>
  <c r="M500" i="4"/>
  <c r="N500" i="4"/>
  <c r="L501" i="4"/>
  <c r="M501" i="4"/>
  <c r="N501" i="4"/>
  <c r="L502" i="4"/>
  <c r="M502" i="4"/>
  <c r="N502" i="4"/>
  <c r="L503" i="4"/>
  <c r="M503" i="4"/>
  <c r="N503" i="4"/>
  <c r="L504" i="4"/>
  <c r="M504" i="4"/>
  <c r="N504" i="4"/>
  <c r="L505" i="4"/>
  <c r="M505" i="4"/>
  <c r="N505" i="4"/>
  <c r="L506" i="4"/>
  <c r="M506" i="4"/>
  <c r="N506" i="4"/>
  <c r="L507" i="4"/>
  <c r="M507" i="4"/>
  <c r="N507" i="4"/>
  <c r="L508" i="4"/>
  <c r="M508" i="4"/>
  <c r="N508" i="4"/>
  <c r="L509" i="4"/>
  <c r="M509" i="4"/>
  <c r="N509" i="4"/>
  <c r="L510" i="4"/>
  <c r="M510" i="4"/>
  <c r="N510" i="4"/>
  <c r="L511" i="4"/>
  <c r="M511" i="4"/>
  <c r="N511" i="4"/>
  <c r="L512" i="4"/>
  <c r="M512" i="4"/>
  <c r="N512" i="4"/>
  <c r="L513" i="4"/>
  <c r="M513" i="4"/>
  <c r="N513" i="4"/>
  <c r="L514" i="4"/>
  <c r="M514" i="4"/>
  <c r="N514" i="4"/>
  <c r="L515" i="4"/>
  <c r="M515" i="4"/>
  <c r="N515" i="4"/>
  <c r="L516" i="4"/>
  <c r="M516" i="4"/>
  <c r="N516" i="4"/>
  <c r="L517" i="4"/>
  <c r="M517" i="4"/>
  <c r="N517" i="4"/>
  <c r="L518" i="4"/>
  <c r="M518" i="4"/>
  <c r="N518" i="4"/>
  <c r="L519" i="4"/>
  <c r="M519" i="4"/>
  <c r="N519" i="4"/>
  <c r="L520" i="4"/>
  <c r="M520" i="4"/>
  <c r="N520" i="4"/>
  <c r="L521" i="4"/>
  <c r="M521" i="4"/>
  <c r="N521" i="4"/>
  <c r="L522" i="4"/>
  <c r="M522" i="4"/>
  <c r="N522" i="4"/>
  <c r="L523" i="4"/>
  <c r="M523" i="4"/>
  <c r="N523" i="4"/>
  <c r="L524" i="4"/>
  <c r="M524" i="4"/>
  <c r="N524" i="4"/>
  <c r="L525" i="4"/>
  <c r="M525" i="4"/>
  <c r="N525" i="4"/>
  <c r="L526" i="4"/>
  <c r="M526" i="4"/>
  <c r="N526" i="4"/>
  <c r="L527" i="4"/>
  <c r="M527" i="4"/>
  <c r="N527" i="4"/>
  <c r="L528" i="4"/>
  <c r="M528" i="4"/>
  <c r="N528" i="4"/>
  <c r="L529" i="4"/>
  <c r="M529" i="4"/>
  <c r="N529" i="4"/>
  <c r="L530" i="4"/>
  <c r="M530" i="4"/>
  <c r="N530" i="4"/>
  <c r="L531" i="4"/>
  <c r="M531" i="4"/>
  <c r="N531" i="4"/>
  <c r="L532" i="4"/>
  <c r="M532" i="4"/>
  <c r="N532" i="4"/>
  <c r="L533" i="4"/>
  <c r="M533" i="4"/>
  <c r="N533" i="4"/>
  <c r="L534" i="4"/>
  <c r="M534" i="4"/>
  <c r="N534" i="4"/>
  <c r="L535" i="4"/>
  <c r="M535" i="4"/>
  <c r="N535" i="4"/>
  <c r="L536" i="4"/>
  <c r="M536" i="4"/>
  <c r="N536" i="4"/>
  <c r="L537" i="4"/>
  <c r="M537" i="4"/>
  <c r="N537" i="4"/>
  <c r="L538" i="4"/>
  <c r="M538" i="4"/>
  <c r="N538" i="4"/>
  <c r="L539" i="4"/>
  <c r="M539" i="4"/>
  <c r="N539" i="4"/>
  <c r="L540" i="4"/>
  <c r="M540" i="4"/>
  <c r="N540" i="4"/>
  <c r="L541" i="4"/>
  <c r="M541" i="4"/>
  <c r="N541" i="4"/>
  <c r="L542" i="4"/>
  <c r="M542" i="4"/>
  <c r="N542" i="4"/>
  <c r="L543" i="4"/>
  <c r="M543" i="4"/>
  <c r="N543" i="4"/>
  <c r="L544" i="4"/>
  <c r="M544" i="4"/>
  <c r="N544" i="4"/>
  <c r="L545" i="4"/>
  <c r="M545" i="4"/>
  <c r="N545" i="4"/>
  <c r="L546" i="4"/>
  <c r="M546" i="4"/>
  <c r="N546" i="4"/>
  <c r="L547" i="4"/>
  <c r="M547" i="4"/>
  <c r="N547" i="4"/>
  <c r="L548" i="4"/>
  <c r="M548" i="4"/>
  <c r="N548" i="4"/>
  <c r="L549" i="4"/>
  <c r="M549" i="4"/>
  <c r="N549" i="4"/>
  <c r="L550" i="4"/>
  <c r="M550" i="4"/>
  <c r="N550" i="4"/>
  <c r="L551" i="4"/>
  <c r="M551" i="4"/>
  <c r="N551" i="4"/>
  <c r="L552" i="4"/>
  <c r="M552" i="4"/>
  <c r="N552" i="4"/>
  <c r="L553" i="4"/>
  <c r="M553" i="4"/>
  <c r="N553" i="4"/>
  <c r="L554" i="4"/>
  <c r="M554" i="4"/>
  <c r="N554" i="4"/>
  <c r="L555" i="4"/>
  <c r="M555" i="4"/>
  <c r="N555" i="4"/>
  <c r="L556" i="4"/>
  <c r="M556" i="4"/>
  <c r="N556" i="4"/>
  <c r="L557" i="4"/>
  <c r="M557" i="4"/>
  <c r="N557" i="4"/>
  <c r="L558" i="4"/>
  <c r="M558" i="4"/>
  <c r="N558" i="4"/>
  <c r="L559" i="4"/>
  <c r="M559" i="4"/>
  <c r="N559" i="4"/>
  <c r="L560" i="4"/>
  <c r="M560" i="4"/>
  <c r="N560" i="4"/>
  <c r="L561" i="4"/>
  <c r="M561" i="4"/>
  <c r="N561" i="4"/>
  <c r="L562" i="4"/>
  <c r="M562" i="4"/>
  <c r="N562" i="4"/>
  <c r="L563" i="4"/>
  <c r="M563" i="4"/>
  <c r="N563" i="4"/>
  <c r="L564" i="4"/>
  <c r="M564" i="4"/>
  <c r="N564" i="4"/>
  <c r="L565" i="4"/>
  <c r="M565" i="4"/>
  <c r="N565" i="4"/>
  <c r="L566" i="4"/>
  <c r="M566" i="4"/>
  <c r="N566" i="4"/>
  <c r="L567" i="4"/>
  <c r="M567" i="4"/>
  <c r="N567" i="4"/>
  <c r="L568" i="4"/>
  <c r="M568" i="4"/>
  <c r="N568" i="4"/>
  <c r="L569" i="4"/>
  <c r="M569" i="4"/>
  <c r="N569" i="4"/>
  <c r="L570" i="4"/>
  <c r="M570" i="4"/>
  <c r="N570" i="4"/>
  <c r="L571" i="4"/>
  <c r="M571" i="4"/>
  <c r="N571" i="4"/>
  <c r="L572" i="4"/>
  <c r="M572" i="4"/>
  <c r="N572" i="4"/>
  <c r="L573" i="4"/>
  <c r="M573" i="4"/>
  <c r="N573" i="4"/>
  <c r="L574" i="4"/>
  <c r="M574" i="4"/>
  <c r="N574" i="4"/>
  <c r="L575" i="4"/>
  <c r="M575" i="4"/>
  <c r="N575" i="4"/>
  <c r="L576" i="4"/>
  <c r="M576" i="4"/>
  <c r="N576" i="4"/>
  <c r="L577" i="4"/>
  <c r="M577" i="4"/>
  <c r="N577" i="4"/>
  <c r="L578" i="4"/>
  <c r="M578" i="4"/>
  <c r="N578" i="4"/>
  <c r="L579" i="4"/>
  <c r="M579" i="4"/>
  <c r="N579" i="4"/>
  <c r="L580" i="4"/>
  <c r="M580" i="4"/>
  <c r="N580" i="4"/>
  <c r="L581" i="4"/>
  <c r="M581" i="4"/>
  <c r="N581" i="4"/>
  <c r="L582" i="4"/>
  <c r="M582" i="4"/>
  <c r="N582" i="4"/>
  <c r="L583" i="4"/>
  <c r="M583" i="4"/>
  <c r="N583" i="4"/>
  <c r="L584" i="4"/>
  <c r="M584" i="4"/>
  <c r="N584" i="4"/>
  <c r="L585" i="4"/>
  <c r="M585" i="4"/>
  <c r="N585" i="4"/>
  <c r="L586" i="4"/>
  <c r="M586" i="4"/>
  <c r="N586" i="4"/>
  <c r="L587" i="4"/>
  <c r="M587" i="4"/>
  <c r="N587" i="4"/>
  <c r="L588" i="4"/>
  <c r="M588" i="4"/>
  <c r="N588" i="4"/>
  <c r="L589" i="4"/>
  <c r="M589" i="4"/>
  <c r="N589" i="4"/>
  <c r="L590" i="4"/>
  <c r="M590" i="4"/>
  <c r="N590" i="4"/>
  <c r="L591" i="4"/>
  <c r="M591" i="4"/>
  <c r="N591" i="4"/>
  <c r="L592" i="4"/>
  <c r="M592" i="4"/>
  <c r="N592" i="4"/>
  <c r="L593" i="4"/>
  <c r="M593" i="4"/>
  <c r="N593" i="4"/>
  <c r="L594" i="4"/>
  <c r="M594" i="4"/>
  <c r="N594" i="4"/>
  <c r="L595" i="4"/>
  <c r="M595" i="4"/>
  <c r="N595" i="4"/>
  <c r="L596" i="4"/>
  <c r="M596" i="4"/>
  <c r="N596" i="4"/>
  <c r="L597" i="4"/>
  <c r="M597" i="4"/>
  <c r="N597" i="4"/>
  <c r="L598" i="4"/>
  <c r="M598" i="4"/>
  <c r="N598" i="4"/>
  <c r="L599" i="4"/>
  <c r="M599" i="4"/>
  <c r="N599" i="4"/>
  <c r="L600" i="4"/>
  <c r="M600" i="4"/>
  <c r="N600" i="4"/>
  <c r="L601" i="4"/>
  <c r="M601" i="4"/>
  <c r="N601" i="4"/>
  <c r="L602" i="4"/>
  <c r="M602" i="4"/>
  <c r="N602" i="4"/>
  <c r="L603" i="4"/>
  <c r="M603" i="4"/>
  <c r="N603" i="4"/>
  <c r="L604" i="4"/>
  <c r="M604" i="4"/>
  <c r="N604" i="4"/>
  <c r="L605" i="4"/>
  <c r="M605" i="4"/>
  <c r="N605" i="4"/>
  <c r="L606" i="4"/>
  <c r="M606" i="4"/>
  <c r="N606" i="4"/>
  <c r="L607" i="4"/>
  <c r="M607" i="4"/>
  <c r="N607" i="4"/>
  <c r="L608" i="4"/>
  <c r="M608" i="4"/>
  <c r="N608" i="4"/>
  <c r="L609" i="4"/>
  <c r="M609" i="4"/>
  <c r="N609" i="4"/>
  <c r="L610" i="4"/>
  <c r="M610" i="4"/>
  <c r="N610" i="4"/>
  <c r="L611" i="4"/>
  <c r="M611" i="4"/>
  <c r="N611" i="4"/>
  <c r="L612" i="4"/>
  <c r="M612" i="4"/>
  <c r="N612" i="4"/>
  <c r="L613" i="4"/>
  <c r="M613" i="4"/>
  <c r="N613" i="4"/>
  <c r="L614" i="4"/>
  <c r="M614" i="4"/>
  <c r="N614" i="4"/>
  <c r="L615" i="4"/>
  <c r="M615" i="4"/>
  <c r="N615" i="4"/>
  <c r="L616" i="4"/>
  <c r="M616" i="4"/>
  <c r="N616" i="4"/>
  <c r="L617" i="4"/>
  <c r="M617" i="4"/>
  <c r="N617" i="4"/>
  <c r="L618" i="4"/>
  <c r="M618" i="4"/>
  <c r="N618" i="4"/>
  <c r="L619" i="4"/>
  <c r="M619" i="4"/>
  <c r="N619" i="4"/>
  <c r="L620" i="4"/>
  <c r="M620" i="4"/>
  <c r="N620" i="4"/>
  <c r="L621" i="4"/>
  <c r="M621" i="4"/>
  <c r="N621" i="4"/>
  <c r="L622" i="4"/>
  <c r="M622" i="4"/>
  <c r="N622" i="4"/>
  <c r="L623" i="4"/>
  <c r="M623" i="4"/>
  <c r="N623" i="4"/>
  <c r="L624" i="4"/>
  <c r="M624" i="4"/>
  <c r="N624" i="4"/>
  <c r="L625" i="4"/>
  <c r="M625" i="4"/>
  <c r="N625" i="4"/>
  <c r="L626" i="4"/>
  <c r="M626" i="4"/>
  <c r="N626" i="4"/>
  <c r="L627" i="4"/>
  <c r="M627" i="4"/>
  <c r="N627" i="4"/>
  <c r="L628" i="4"/>
  <c r="M628" i="4"/>
  <c r="N628" i="4"/>
  <c r="L629" i="4"/>
  <c r="M629" i="4"/>
  <c r="N629" i="4"/>
  <c r="L630" i="4"/>
  <c r="M630" i="4"/>
  <c r="N630" i="4"/>
  <c r="L631" i="4"/>
  <c r="M631" i="4"/>
  <c r="N631" i="4"/>
  <c r="L632" i="4"/>
  <c r="M632" i="4"/>
  <c r="N632" i="4"/>
  <c r="L633" i="4"/>
  <c r="M633" i="4"/>
  <c r="N633" i="4"/>
  <c r="L634" i="4"/>
  <c r="M634" i="4"/>
  <c r="N634" i="4"/>
  <c r="L635" i="4"/>
  <c r="M635" i="4"/>
  <c r="N635" i="4"/>
  <c r="L636" i="4"/>
  <c r="M636" i="4"/>
  <c r="N636" i="4"/>
  <c r="L637" i="4"/>
  <c r="M637" i="4"/>
  <c r="N637" i="4"/>
  <c r="L638" i="4"/>
  <c r="M638" i="4"/>
  <c r="N638" i="4"/>
  <c r="L639" i="4"/>
  <c r="M639" i="4"/>
  <c r="N639" i="4"/>
  <c r="L640" i="4"/>
  <c r="M640" i="4"/>
  <c r="N640" i="4"/>
  <c r="L641" i="4"/>
  <c r="M641" i="4"/>
  <c r="N641" i="4"/>
  <c r="L642" i="4"/>
  <c r="M642" i="4"/>
  <c r="N642" i="4"/>
  <c r="L643" i="4"/>
  <c r="M643" i="4"/>
  <c r="N643" i="4"/>
  <c r="L644" i="4"/>
  <c r="M644" i="4"/>
  <c r="N644" i="4"/>
  <c r="L645" i="4"/>
  <c r="M645" i="4"/>
  <c r="N645" i="4"/>
  <c r="L646" i="4"/>
  <c r="M646" i="4"/>
  <c r="N646" i="4"/>
  <c r="L647" i="4"/>
  <c r="M647" i="4"/>
  <c r="N647" i="4"/>
  <c r="L648" i="4"/>
  <c r="M648" i="4"/>
  <c r="N648" i="4"/>
  <c r="L649" i="4"/>
  <c r="M649" i="4"/>
  <c r="N649" i="4"/>
  <c r="L650" i="4"/>
  <c r="M650" i="4"/>
  <c r="N650" i="4"/>
  <c r="L651" i="4"/>
  <c r="M651" i="4"/>
  <c r="N651" i="4"/>
  <c r="L652" i="4"/>
  <c r="M652" i="4"/>
  <c r="N652" i="4"/>
  <c r="L653" i="4"/>
  <c r="M653" i="4"/>
  <c r="N653" i="4"/>
  <c r="L654" i="4"/>
  <c r="M654" i="4"/>
  <c r="N654" i="4"/>
  <c r="L655" i="4"/>
  <c r="M655" i="4"/>
  <c r="N655" i="4"/>
  <c r="L656" i="4"/>
  <c r="M656" i="4"/>
  <c r="N656" i="4"/>
  <c r="L657" i="4"/>
  <c r="M657" i="4"/>
  <c r="N657" i="4"/>
  <c r="L658" i="4"/>
  <c r="M658" i="4"/>
  <c r="N658" i="4"/>
  <c r="L659" i="4"/>
  <c r="M659" i="4"/>
  <c r="N659" i="4"/>
  <c r="L660" i="4"/>
  <c r="M660" i="4"/>
  <c r="N660" i="4"/>
  <c r="L661" i="4"/>
  <c r="M661" i="4"/>
  <c r="N661" i="4"/>
  <c r="L662" i="4"/>
  <c r="M662" i="4"/>
  <c r="N662" i="4"/>
  <c r="L663" i="4"/>
  <c r="M663" i="4"/>
  <c r="N663" i="4"/>
  <c r="L664" i="4"/>
  <c r="M664" i="4"/>
  <c r="N664" i="4"/>
  <c r="L665" i="4"/>
  <c r="M665" i="4"/>
  <c r="N665" i="4"/>
  <c r="L666" i="4"/>
  <c r="M666" i="4"/>
  <c r="N666" i="4"/>
  <c r="L667" i="4"/>
  <c r="M667" i="4"/>
  <c r="N667" i="4"/>
  <c r="L668" i="4"/>
  <c r="M668" i="4"/>
  <c r="N668" i="4"/>
  <c r="L669" i="4"/>
  <c r="M669" i="4"/>
  <c r="N669" i="4"/>
  <c r="L670" i="4"/>
  <c r="M670" i="4"/>
  <c r="N670" i="4"/>
  <c r="L671" i="4"/>
  <c r="M671" i="4"/>
  <c r="N671" i="4"/>
  <c r="L672" i="4"/>
  <c r="M672" i="4"/>
  <c r="N672" i="4"/>
  <c r="L673" i="4"/>
  <c r="M673" i="4"/>
  <c r="N673" i="4"/>
  <c r="L674" i="4"/>
  <c r="M674" i="4"/>
  <c r="N674" i="4"/>
  <c r="L675" i="4"/>
  <c r="M675" i="4"/>
  <c r="N675" i="4"/>
  <c r="L676" i="4"/>
  <c r="M676" i="4"/>
  <c r="N676" i="4"/>
  <c r="L677" i="4"/>
  <c r="M677" i="4"/>
  <c r="N677" i="4"/>
  <c r="L678" i="4"/>
  <c r="M678" i="4"/>
  <c r="N678" i="4"/>
  <c r="L679" i="4"/>
  <c r="M679" i="4"/>
  <c r="N679" i="4"/>
  <c r="L680" i="4"/>
  <c r="M680" i="4"/>
  <c r="N680" i="4"/>
  <c r="L681" i="4"/>
  <c r="M681" i="4"/>
  <c r="N681" i="4"/>
  <c r="L682" i="4"/>
  <c r="M682" i="4"/>
  <c r="N682" i="4"/>
  <c r="L683" i="4"/>
  <c r="M683" i="4"/>
  <c r="N683" i="4"/>
  <c r="L684" i="4"/>
  <c r="M684" i="4"/>
  <c r="N684" i="4"/>
  <c r="L685" i="4"/>
  <c r="M685" i="4"/>
  <c r="N685" i="4"/>
  <c r="L686" i="4"/>
  <c r="M686" i="4"/>
  <c r="N686" i="4"/>
  <c r="L687" i="4"/>
  <c r="M687" i="4"/>
  <c r="N687" i="4"/>
  <c r="L688" i="4"/>
  <c r="M688" i="4"/>
  <c r="N688" i="4"/>
  <c r="L689" i="4"/>
  <c r="M689" i="4"/>
  <c r="N689" i="4"/>
  <c r="L690" i="4"/>
  <c r="M690" i="4"/>
  <c r="N690" i="4"/>
  <c r="L691" i="4"/>
  <c r="M691" i="4"/>
  <c r="N691" i="4"/>
  <c r="L692" i="4"/>
  <c r="M692" i="4"/>
  <c r="N692" i="4"/>
  <c r="L693" i="4"/>
  <c r="M693" i="4"/>
  <c r="N693" i="4"/>
  <c r="L694" i="4"/>
  <c r="M694" i="4"/>
  <c r="N694" i="4"/>
  <c r="L695" i="4"/>
  <c r="M695" i="4"/>
  <c r="N695" i="4"/>
  <c r="L696" i="4"/>
  <c r="M696" i="4"/>
  <c r="N696" i="4"/>
  <c r="L697" i="4"/>
  <c r="M697" i="4"/>
  <c r="N697" i="4"/>
  <c r="L698" i="4"/>
  <c r="M698" i="4"/>
  <c r="N698" i="4"/>
  <c r="L699" i="4"/>
  <c r="M699" i="4"/>
  <c r="N699" i="4"/>
  <c r="L700" i="4"/>
  <c r="M700" i="4"/>
  <c r="N700" i="4"/>
  <c r="L701" i="4"/>
  <c r="M701" i="4"/>
  <c r="N701" i="4"/>
  <c r="L702" i="4"/>
  <c r="M702" i="4"/>
  <c r="N702" i="4"/>
  <c r="L703" i="4"/>
  <c r="M703" i="4"/>
  <c r="N703" i="4"/>
  <c r="L704" i="4"/>
  <c r="M704" i="4"/>
  <c r="N704" i="4"/>
  <c r="L705" i="4"/>
  <c r="M705" i="4"/>
  <c r="N705" i="4"/>
  <c r="L706" i="4"/>
  <c r="M706" i="4"/>
  <c r="N706" i="4"/>
  <c r="L707" i="4"/>
  <c r="M707" i="4"/>
  <c r="N707" i="4"/>
  <c r="L708" i="4"/>
  <c r="M708" i="4"/>
  <c r="N708" i="4"/>
  <c r="L709" i="4"/>
  <c r="M709" i="4"/>
  <c r="N709" i="4"/>
  <c r="L710" i="4"/>
  <c r="M710" i="4"/>
  <c r="N710" i="4"/>
  <c r="L711" i="4"/>
  <c r="M711" i="4"/>
  <c r="N711" i="4"/>
  <c r="L712" i="4"/>
  <c r="M712" i="4"/>
  <c r="N712" i="4"/>
  <c r="L713" i="4"/>
  <c r="M713" i="4"/>
  <c r="N713" i="4"/>
  <c r="L714" i="4"/>
  <c r="M714" i="4"/>
  <c r="N714" i="4"/>
  <c r="L715" i="4"/>
  <c r="M715" i="4"/>
  <c r="N715" i="4"/>
  <c r="L716" i="4"/>
  <c r="M716" i="4"/>
  <c r="N716" i="4"/>
  <c r="L717" i="4"/>
  <c r="M717" i="4"/>
  <c r="N717" i="4"/>
  <c r="L718" i="4"/>
  <c r="M718" i="4"/>
  <c r="N718" i="4"/>
  <c r="L719" i="4"/>
  <c r="M719" i="4"/>
  <c r="N719" i="4"/>
  <c r="L720" i="4"/>
  <c r="M720" i="4"/>
  <c r="N720" i="4"/>
  <c r="L721" i="4"/>
  <c r="M721" i="4"/>
  <c r="N721" i="4"/>
  <c r="L722" i="4"/>
  <c r="M722" i="4"/>
  <c r="N722" i="4"/>
  <c r="L723" i="4"/>
  <c r="M723" i="4"/>
  <c r="N723" i="4"/>
  <c r="L724" i="4"/>
  <c r="M724" i="4"/>
  <c r="N724" i="4"/>
  <c r="L725" i="4"/>
  <c r="M725" i="4"/>
  <c r="N725" i="4"/>
  <c r="L726" i="4"/>
  <c r="M726" i="4"/>
  <c r="N726" i="4"/>
  <c r="L727" i="4"/>
  <c r="M727" i="4"/>
  <c r="N727" i="4"/>
  <c r="L728" i="4"/>
  <c r="M728" i="4"/>
  <c r="N728" i="4"/>
  <c r="L729" i="4"/>
  <c r="M729" i="4"/>
  <c r="N729" i="4"/>
  <c r="L730" i="4"/>
  <c r="M730" i="4"/>
  <c r="N730" i="4"/>
  <c r="L731" i="4"/>
  <c r="M731" i="4"/>
  <c r="N731" i="4"/>
  <c r="L732" i="4"/>
  <c r="M732" i="4"/>
  <c r="N732" i="4"/>
  <c r="L733" i="4"/>
  <c r="M733" i="4"/>
  <c r="N733" i="4"/>
  <c r="L734" i="4"/>
  <c r="M734" i="4"/>
  <c r="N734" i="4"/>
  <c r="L735" i="4"/>
  <c r="M735" i="4"/>
  <c r="N735" i="4"/>
  <c r="L736" i="4"/>
  <c r="M736" i="4"/>
  <c r="N736" i="4"/>
  <c r="L737" i="4"/>
  <c r="M737" i="4"/>
  <c r="N737" i="4"/>
  <c r="L738" i="4"/>
  <c r="M738" i="4"/>
  <c r="N738" i="4"/>
  <c r="L739" i="4"/>
  <c r="M739" i="4"/>
  <c r="N739" i="4"/>
  <c r="L740" i="4"/>
  <c r="M740" i="4"/>
  <c r="N740" i="4"/>
  <c r="L741" i="4"/>
  <c r="M741" i="4"/>
  <c r="N741" i="4"/>
  <c r="L742" i="4"/>
  <c r="M742" i="4"/>
  <c r="N742" i="4"/>
  <c r="L743" i="4"/>
  <c r="M743" i="4"/>
  <c r="N743" i="4"/>
  <c r="L744" i="4"/>
  <c r="M744" i="4"/>
  <c r="N744" i="4"/>
  <c r="L745" i="4"/>
  <c r="M745" i="4"/>
  <c r="N745" i="4"/>
  <c r="L746" i="4"/>
  <c r="M746" i="4"/>
  <c r="N746" i="4"/>
  <c r="L747" i="4"/>
  <c r="M747" i="4"/>
  <c r="N747" i="4"/>
  <c r="L748" i="4"/>
  <c r="M748" i="4"/>
  <c r="N748" i="4"/>
  <c r="L749" i="4"/>
  <c r="M749" i="4"/>
  <c r="N749" i="4"/>
  <c r="L750" i="4"/>
  <c r="M750" i="4"/>
  <c r="N750" i="4"/>
  <c r="L751" i="4"/>
  <c r="M751" i="4"/>
  <c r="N751" i="4"/>
  <c r="L752" i="4"/>
  <c r="M752" i="4"/>
  <c r="N752" i="4"/>
  <c r="L753" i="4"/>
  <c r="M753" i="4"/>
  <c r="N753" i="4"/>
  <c r="L754" i="4"/>
  <c r="M754" i="4"/>
  <c r="N754" i="4"/>
  <c r="L755" i="4"/>
  <c r="M755" i="4"/>
  <c r="N755" i="4"/>
  <c r="L756" i="4"/>
  <c r="M756" i="4"/>
  <c r="N756" i="4"/>
  <c r="L757" i="4"/>
  <c r="M757" i="4"/>
  <c r="N757" i="4"/>
  <c r="L758" i="4"/>
  <c r="M758" i="4"/>
  <c r="N758" i="4"/>
  <c r="L759" i="4"/>
  <c r="M759" i="4"/>
  <c r="N759" i="4"/>
  <c r="L760" i="4"/>
  <c r="M760" i="4"/>
  <c r="N760" i="4"/>
  <c r="L761" i="4"/>
  <c r="M761" i="4"/>
  <c r="N761" i="4"/>
  <c r="L762" i="4"/>
  <c r="M762" i="4"/>
  <c r="N762" i="4"/>
  <c r="L763" i="4"/>
  <c r="M763" i="4"/>
  <c r="N763" i="4"/>
  <c r="L764" i="4"/>
  <c r="M764" i="4"/>
  <c r="N764" i="4"/>
  <c r="L765" i="4"/>
  <c r="M765" i="4"/>
  <c r="N765" i="4"/>
  <c r="L766" i="4"/>
  <c r="M766" i="4"/>
  <c r="N766" i="4"/>
  <c r="L767" i="4"/>
  <c r="M767" i="4"/>
  <c r="N767" i="4"/>
  <c r="L768" i="4"/>
  <c r="M768" i="4"/>
  <c r="N768" i="4"/>
  <c r="L769" i="4"/>
  <c r="M769" i="4"/>
  <c r="N769" i="4"/>
  <c r="L770" i="4"/>
  <c r="M770" i="4"/>
  <c r="N770" i="4"/>
  <c r="L771" i="4"/>
  <c r="M771" i="4"/>
  <c r="N771" i="4"/>
  <c r="L772" i="4"/>
  <c r="M772" i="4"/>
  <c r="N772" i="4"/>
  <c r="L773" i="4"/>
  <c r="M773" i="4"/>
  <c r="N773" i="4"/>
  <c r="L774" i="4"/>
  <c r="M774" i="4"/>
  <c r="N774" i="4"/>
  <c r="L775" i="4"/>
  <c r="M775" i="4"/>
  <c r="N775" i="4"/>
  <c r="L776" i="4"/>
  <c r="M776" i="4"/>
  <c r="N776" i="4"/>
  <c r="L777" i="4"/>
  <c r="M777" i="4"/>
  <c r="N777" i="4"/>
  <c r="L778" i="4"/>
  <c r="M778" i="4"/>
  <c r="N778" i="4"/>
  <c r="L779" i="4"/>
  <c r="M779" i="4"/>
  <c r="N779" i="4"/>
  <c r="L780" i="4"/>
  <c r="M780" i="4"/>
  <c r="N780" i="4"/>
  <c r="L781" i="4"/>
  <c r="M781" i="4"/>
  <c r="N781" i="4"/>
  <c r="L782" i="4"/>
  <c r="M782" i="4"/>
  <c r="N782" i="4"/>
  <c r="L783" i="4"/>
  <c r="M783" i="4"/>
  <c r="N783" i="4"/>
  <c r="L784" i="4"/>
  <c r="M784" i="4"/>
  <c r="N784" i="4"/>
  <c r="L785" i="4"/>
  <c r="M785" i="4"/>
  <c r="N785" i="4"/>
  <c r="L786" i="4"/>
  <c r="M786" i="4"/>
  <c r="N786" i="4"/>
  <c r="L787" i="4"/>
  <c r="M787" i="4"/>
  <c r="N787" i="4"/>
  <c r="L788" i="4"/>
  <c r="M788" i="4"/>
  <c r="N788" i="4"/>
  <c r="L789" i="4"/>
  <c r="M789" i="4"/>
  <c r="N789" i="4"/>
  <c r="L790" i="4"/>
  <c r="M790" i="4"/>
  <c r="N790" i="4"/>
  <c r="L791" i="4"/>
  <c r="M791" i="4"/>
  <c r="N791" i="4"/>
  <c r="L792" i="4"/>
  <c r="M792" i="4"/>
  <c r="N792" i="4"/>
  <c r="L793" i="4"/>
  <c r="M793" i="4"/>
  <c r="N793" i="4"/>
  <c r="G18" i="4"/>
  <c r="H16" i="4"/>
  <c r="G16" i="4"/>
  <c r="C8" i="4"/>
  <c r="G16" i="3"/>
  <c r="G18" i="3"/>
  <c r="D30" i="2"/>
  <c r="C27" i="1"/>
  <c r="Q5" i="1"/>
  <c r="Q7" i="1"/>
  <c r="Q11" i="1"/>
  <c r="Q13" i="1"/>
  <c r="R7" i="1"/>
  <c r="R5" i="1"/>
  <c r="R11" i="1"/>
  <c r="R13" i="1"/>
  <c r="C23" i="1"/>
  <c r="C20" i="1"/>
  <c r="C6" i="1"/>
  <c r="C9" i="1"/>
  <c r="Q14" i="1"/>
  <c r="H16" i="3"/>
  <c r="C13" i="3"/>
  <c r="C11" i="3"/>
  <c r="C8" i="3"/>
  <c r="G16" i="2"/>
  <c r="F17" i="2"/>
  <c r="F18" i="2"/>
  <c r="C13" i="2"/>
  <c r="F16" i="2"/>
  <c r="C10" i="2"/>
  <c r="C7" i="2"/>
  <c r="F19" i="2"/>
  <c r="S5" i="1"/>
  <c r="S7" i="1"/>
  <c r="R14" i="1"/>
  <c r="L69" i="4"/>
  <c r="M69" i="4"/>
  <c r="N69" i="4"/>
  <c r="L61" i="4"/>
  <c r="M61" i="4"/>
  <c r="N61" i="4"/>
  <c r="L53" i="4"/>
  <c r="M53" i="4"/>
  <c r="N53" i="4"/>
  <c r="L45" i="4"/>
  <c r="M45" i="4"/>
  <c r="N45" i="4"/>
  <c r="L37" i="4"/>
  <c r="M37" i="4"/>
  <c r="N37" i="4"/>
  <c r="L29" i="4"/>
  <c r="M29" i="4"/>
  <c r="N29" i="4"/>
  <c r="L21" i="4"/>
  <c r="M21" i="4"/>
  <c r="N21" i="4"/>
  <c r="L127" i="4"/>
  <c r="M127" i="4"/>
  <c r="N127" i="4"/>
  <c r="L119" i="4"/>
  <c r="M119" i="4"/>
  <c r="N119" i="4"/>
  <c r="L111" i="4"/>
  <c r="M111" i="4"/>
  <c r="N111" i="4"/>
  <c r="L103" i="4"/>
  <c r="M103" i="4"/>
  <c r="N103" i="4"/>
  <c r="L95" i="4"/>
  <c r="M95" i="4"/>
  <c r="N95" i="4"/>
  <c r="L87" i="4"/>
  <c r="M87" i="4"/>
  <c r="N87" i="4"/>
  <c r="L79" i="4"/>
  <c r="M79" i="4"/>
  <c r="N79" i="4"/>
  <c r="L71" i="4"/>
  <c r="M71" i="4"/>
  <c r="N71" i="4"/>
  <c r="L63" i="4"/>
  <c r="M63" i="4"/>
  <c r="N63" i="4"/>
  <c r="L55" i="4"/>
  <c r="M55" i="4"/>
  <c r="N55" i="4"/>
  <c r="L47" i="4"/>
  <c r="M47" i="4"/>
  <c r="N47" i="4"/>
  <c r="L39" i="4"/>
  <c r="M39" i="4"/>
  <c r="N39" i="4"/>
  <c r="L31" i="4"/>
  <c r="M31" i="4"/>
  <c r="N31" i="4"/>
  <c r="L23" i="4"/>
  <c r="M23" i="4"/>
  <c r="N23" i="4"/>
  <c r="L15" i="4"/>
  <c r="M15" i="4"/>
  <c r="N15" i="4"/>
  <c r="L22" i="4"/>
  <c r="M22" i="4"/>
  <c r="N22" i="4"/>
  <c r="L24" i="4"/>
  <c r="M24" i="4"/>
  <c r="N24" i="4"/>
  <c r="C13" i="4"/>
  <c r="S11" i="1"/>
  <c r="S13" i="1"/>
  <c r="T7" i="1"/>
  <c r="S14" i="1"/>
  <c r="T5" i="1"/>
  <c r="T11" i="1"/>
  <c r="T13" i="1"/>
  <c r="U5" i="1"/>
  <c r="U7" i="1"/>
  <c r="T14" i="1"/>
  <c r="U11" i="1"/>
  <c r="U13" i="1"/>
  <c r="V7" i="1"/>
  <c r="V5" i="1"/>
  <c r="U14" i="1"/>
  <c r="V11" i="1"/>
  <c r="V13" i="1"/>
  <c r="V14" i="1"/>
  <c r="W5" i="1"/>
  <c r="W7" i="1"/>
  <c r="W11" i="1"/>
  <c r="W13" i="1"/>
  <c r="X7" i="1"/>
  <c r="W14" i="1"/>
  <c r="X5" i="1"/>
  <c r="X11" i="1"/>
  <c r="X13" i="1"/>
  <c r="Y5" i="1"/>
  <c r="Y7" i="1"/>
  <c r="Y11" i="1"/>
  <c r="Y13" i="1"/>
  <c r="X14" i="1"/>
  <c r="Z7" i="1"/>
  <c r="Y14" i="1"/>
  <c r="Z5" i="1"/>
  <c r="Z11" i="1"/>
  <c r="Z13" i="1"/>
  <c r="AA5" i="1"/>
  <c r="Z14" i="1"/>
  <c r="AA7" i="1"/>
  <c r="AA11" i="1"/>
  <c r="AA13" i="1"/>
  <c r="AB7" i="1"/>
  <c r="AB5" i="1"/>
  <c r="AA14" i="1"/>
  <c r="AB11" i="1"/>
  <c r="AB13" i="1"/>
  <c r="AC5" i="1"/>
  <c r="AC7" i="1"/>
  <c r="AB14" i="1"/>
  <c r="AC11" i="1"/>
  <c r="AC13" i="1"/>
  <c r="AD7" i="1"/>
  <c r="AD5" i="1"/>
  <c r="AC14" i="1"/>
  <c r="AD11" i="1"/>
  <c r="AD13" i="1"/>
  <c r="AE7" i="1"/>
  <c r="AE5" i="1"/>
  <c r="AD14" i="1"/>
  <c r="AE11" i="1"/>
  <c r="AE13" i="1"/>
  <c r="AF7" i="1"/>
  <c r="AE14" i="1"/>
  <c r="AF5" i="1"/>
  <c r="AF11" i="1"/>
  <c r="AF13" i="1"/>
  <c r="AF14" i="1"/>
  <c r="AG5" i="1"/>
  <c r="AG7" i="1"/>
  <c r="AG11" i="1"/>
  <c r="AG13" i="1"/>
  <c r="AH7" i="1"/>
  <c r="AH5" i="1"/>
  <c r="AG14" i="1"/>
  <c r="AH11" i="1"/>
  <c r="AH13" i="1"/>
  <c r="AH14" i="1"/>
  <c r="AI5" i="1"/>
  <c r="AI7" i="1"/>
  <c r="AI11" i="1"/>
  <c r="AI13" i="1"/>
  <c r="AJ7" i="1"/>
  <c r="AJ5" i="1"/>
  <c r="AI14" i="1"/>
  <c r="AJ11" i="1"/>
  <c r="AJ13" i="1"/>
  <c r="AK5" i="1"/>
  <c r="AK7" i="1"/>
  <c r="AJ14" i="1"/>
  <c r="AK11" i="1"/>
  <c r="AK13" i="1"/>
  <c r="AL5" i="1"/>
  <c r="AK14" i="1"/>
  <c r="AL7" i="1"/>
  <c r="AL11" i="1"/>
  <c r="AL13" i="1"/>
  <c r="AL14" i="1"/>
  <c r="AM5" i="1"/>
  <c r="AM7" i="1"/>
  <c r="AM11" i="1"/>
  <c r="AM13" i="1"/>
  <c r="AN5" i="1"/>
  <c r="AN7" i="1"/>
  <c r="AM14" i="1"/>
  <c r="AN11" i="1"/>
  <c r="AN13" i="1"/>
  <c r="AO5" i="1"/>
  <c r="AN14" i="1"/>
  <c r="AO7" i="1"/>
  <c r="AO11" i="1"/>
  <c r="AO13" i="1"/>
  <c r="AP5" i="1"/>
  <c r="AO14" i="1"/>
  <c r="AP7" i="1"/>
  <c r="AP11" i="1"/>
  <c r="AP13" i="1"/>
  <c r="AP14" i="1"/>
  <c r="AQ5" i="1"/>
  <c r="AQ7" i="1"/>
  <c r="AQ11" i="1"/>
  <c r="AQ13" i="1"/>
  <c r="AR5" i="1"/>
  <c r="AQ14" i="1"/>
  <c r="AR7" i="1"/>
  <c r="AR11" i="1"/>
  <c r="AR13" i="1"/>
  <c r="AS5" i="1"/>
  <c r="AS7" i="1"/>
  <c r="AR14" i="1"/>
  <c r="AS11" i="1"/>
  <c r="AS13" i="1"/>
  <c r="AT7" i="1"/>
  <c r="AT5" i="1"/>
  <c r="AS14" i="1"/>
  <c r="AT11" i="1"/>
  <c r="AT13" i="1"/>
  <c r="AU5" i="1"/>
  <c r="AT14" i="1"/>
  <c r="AU7" i="1"/>
  <c r="AU11" i="1"/>
  <c r="AU13" i="1"/>
  <c r="AV5" i="1"/>
  <c r="AU14" i="1"/>
  <c r="AV7" i="1"/>
  <c r="AV11" i="1"/>
  <c r="AV13" i="1"/>
  <c r="AW5" i="1"/>
  <c r="AV14" i="1"/>
  <c r="AW7" i="1"/>
  <c r="AW11" i="1"/>
  <c r="AW13" i="1"/>
  <c r="AX7" i="1"/>
  <c r="AW14" i="1"/>
  <c r="AX5" i="1"/>
  <c r="AX11" i="1"/>
  <c r="AX13" i="1"/>
  <c r="AY5" i="1"/>
  <c r="AX14" i="1"/>
  <c r="AY7" i="1"/>
  <c r="AY11" i="1"/>
  <c r="AY13" i="1"/>
  <c r="AZ5" i="1"/>
  <c r="AY14" i="1"/>
  <c r="AZ7" i="1"/>
  <c r="AZ11" i="1"/>
  <c r="AZ13" i="1"/>
  <c r="BA5" i="1"/>
  <c r="BA7" i="1"/>
  <c r="AZ14" i="1"/>
  <c r="BA11" i="1"/>
  <c r="BC11" i="1"/>
  <c r="C13" i="1"/>
  <c r="BA13" i="1"/>
  <c r="BA14" i="1"/>
</calcChain>
</file>

<file path=xl/sharedStrings.xml><?xml version="1.0" encoding="utf-8"?>
<sst xmlns="http://schemas.openxmlformats.org/spreadsheetml/2006/main" count="133" uniqueCount="92">
  <si>
    <t>Sample Size Calculator for a Single Mean</t>
  </si>
  <si>
    <t>Alpha Error</t>
  </si>
  <si>
    <t>Beta Error</t>
  </si>
  <si>
    <t>Power</t>
  </si>
  <si>
    <t>Sample Standard Deviation</t>
  </si>
  <si>
    <t>Delta (accuracy of the estimate)</t>
  </si>
  <si>
    <t xml:space="preserve">Sample Size = </t>
  </si>
  <si>
    <t>n</t>
  </si>
  <si>
    <t>df</t>
  </si>
  <si>
    <t>Confidence Interval</t>
  </si>
  <si>
    <t>Probability of the population mean being located within the confidence interval</t>
  </si>
  <si>
    <t>Probability of not having the population mean included in the confidence interval</t>
  </si>
  <si>
    <t>Baseline process standard deviation</t>
  </si>
  <si>
    <t>Accuracy with which the mean may be estimated (practical difference of interest)</t>
  </si>
  <si>
    <t>If D-ratio is greater than 2 the sample size will always be 5</t>
  </si>
  <si>
    <t>D ratio (Delta/Sigma)</t>
  </si>
  <si>
    <t>Probability of not being able to detect delta</t>
  </si>
  <si>
    <t>Probability of correctly detecting delta</t>
  </si>
  <si>
    <t xml:space="preserve">Sample Size </t>
  </si>
  <si>
    <t>Delta Calculator for a Single Mean and a Known Sample Size</t>
  </si>
  <si>
    <t>Delta is the accuracy with which the mean may be estimated for a given probability of error and sample size</t>
  </si>
  <si>
    <t>Unit of Measure</t>
  </si>
  <si>
    <t>Mils</t>
  </si>
  <si>
    <t>Upper Confidence Interval for Sample Size assuming Zero Defective</t>
  </si>
  <si>
    <t>Sample Size</t>
  </si>
  <si>
    <t>Compare results to Minitab version 13.31</t>
  </si>
  <si>
    <t>Mean can be accurately determined plus or minus the delta indicated with a known probability of detection</t>
  </si>
  <si>
    <t>Upper 95% CI</t>
  </si>
  <si>
    <t>Observed Failure Rate=0</t>
  </si>
  <si>
    <t>Delta =</t>
  </si>
  <si>
    <t>Sample Size Calculator for Proportion Defective</t>
  </si>
  <si>
    <t>Baseline Proportion Defective</t>
  </si>
  <si>
    <t>Accuracy with which the proportion defective may be estimated (practical difference of interest)</t>
  </si>
  <si>
    <t>One or two sided test (1,2)</t>
  </si>
  <si>
    <t>If deviation in either direction is of interest use 2 and if deviation in only one direction is of interest specify 1.</t>
  </si>
  <si>
    <t>Specify the sample size to be evaluated</t>
  </si>
  <si>
    <t>One sided</t>
  </si>
  <si>
    <t>Two sided</t>
  </si>
  <si>
    <t xml:space="preserve">Sample size equations </t>
  </si>
  <si>
    <t>Baseline population proportion defective, if unknown use .5 or best estimate</t>
  </si>
  <si>
    <t>Probability of not having the population proportion defective included in the confidence interval</t>
  </si>
  <si>
    <t>Probability of the population proportion defective being located within the confidence interval</t>
  </si>
  <si>
    <t>Delta (change in proportion defective)</t>
  </si>
  <si>
    <t>Sample size for the test</t>
  </si>
  <si>
    <t>Reference NIST</t>
  </si>
  <si>
    <t>www.itl.nist.gov/div898/handbook/prc/section2/prc242.htm</t>
  </si>
  <si>
    <t>www.itl.nist.gov/div898/handbook/prc/section2/prc222.htm</t>
  </si>
  <si>
    <t>Sample size equations:</t>
  </si>
  <si>
    <t>Compare results to JMP 5.01</t>
  </si>
  <si>
    <t>z alpha</t>
  </si>
  <si>
    <t>z beta</t>
  </si>
  <si>
    <t>Baseline Defects per Unit (DPU)</t>
  </si>
  <si>
    <t>k</t>
  </si>
  <si>
    <t>Accuracy with which the DPU may be estimated (practical difference of interest)</t>
  </si>
  <si>
    <t>Number of units to be inspected or tested</t>
  </si>
  <si>
    <t>Probability of not having the population DPU included in the confidence interval</t>
  </si>
  <si>
    <t>Sample Size Calculator for Defects per Unit (DPU)</t>
  </si>
  <si>
    <t>Probability of not being able to detect delta DPU</t>
  </si>
  <si>
    <t>Probability of correctly detecting delta DPU</t>
  </si>
  <si>
    <t>Delta (Change in the DPU)</t>
  </si>
  <si>
    <t>Probability of the population DPU located within the confidence interval</t>
  </si>
  <si>
    <t>Baseline defect per unit for a product or processs</t>
  </si>
  <si>
    <t>http://www.itl.nist.gov/div898/handbook/prc/section2/prc25.htm</t>
  </si>
  <si>
    <t>Sample size calculator for a single mean, for a given probability of error and delta</t>
  </si>
  <si>
    <t>Sample size calculator for a single standard deviation, for a given probability of error and delta</t>
  </si>
  <si>
    <t>Sample size calculator the proportion defective, for a given probability of error and delta</t>
  </si>
  <si>
    <t>Sample size calculator for estimating the defect density, for a given probability of error and delta</t>
  </si>
  <si>
    <t>One or two sided  (1,2)</t>
  </si>
  <si>
    <t>Baseline Standard Deviation</t>
  </si>
  <si>
    <t>Delta (Change in the Standard Deviation)</t>
  </si>
  <si>
    <t>Probability of not having the population standard deviation included in the confidence interval</t>
  </si>
  <si>
    <t>Probability of the population standard deviation located within the confidence interval</t>
  </si>
  <si>
    <t>Baseline standard deviation for a product or processs</t>
  </si>
  <si>
    <t>Probability of not being able to detect delta standard deviation</t>
  </si>
  <si>
    <t>Probability of correctly detecting the delta standard deviation</t>
  </si>
  <si>
    <t>Accuracy with which the standard deviation may be estimated (practical difference of interest)</t>
  </si>
  <si>
    <t>www.itl.nist.gov/div898/handbook/prc/section2/prc232.htm</t>
  </si>
  <si>
    <t>www.dr-tom.com</t>
  </si>
  <si>
    <t>Sample Size Calculator for a Single Sample Standard Deviation</t>
  </si>
  <si>
    <t>* Warning sample sizes of &gt;780 are not accurate due to Excel's limitation of the CHI Square Function</t>
  </si>
  <si>
    <t>© TLC, 2003 Rev. 1.2</t>
  </si>
  <si>
    <t>Confidence interval</t>
  </si>
  <si>
    <t>How sure do you want to be?</t>
  </si>
  <si>
    <t>Constant Failure Rate</t>
  </si>
  <si>
    <t>Baseline failure rate (1/baseline MTBF)</t>
  </si>
  <si>
    <t>Required MTBF</t>
  </si>
  <si>
    <t>MTBF you are trying to prove</t>
  </si>
  <si>
    <t>Number of Failures</t>
  </si>
  <si>
    <t>Test Factor</t>
  </si>
  <si>
    <t>Test Time (hours)</t>
  </si>
  <si>
    <t>Sample Size Calculator for proving MTBF</t>
  </si>
  <si>
    <t>Calculate test time when trying to prove a certain MTBF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</si>
</sst>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_(* #,##0.000_);_(* \(#,##0.000\);_(* &quot;-&quot;??_);_(@_)"/>
    <numFmt numFmtId="166" formatCode="_(* #,##0_);_(* \(#,##0\);_(* &quot;-&quot;??_);_(@_)"/>
    <numFmt numFmtId="167" formatCode="0.00000"/>
  </numFmts>
  <fonts count="15" x14ac:knownFonts="1">
    <font>
      <sz val="10"/>
      <name val="Arial"/>
    </font>
    <font>
      <sz val="10"/>
      <name val="Arial"/>
    </font>
    <font>
      <sz val="10"/>
      <color indexed="9"/>
      <name val="Arial"/>
    </font>
    <font>
      <b/>
      <i/>
      <sz val="12"/>
      <name val="Arial"/>
      <family val="2"/>
    </font>
    <font>
      <b/>
      <i/>
      <sz val="14"/>
      <color indexed="62"/>
      <name val="Arial"/>
      <family val="2"/>
    </font>
    <font>
      <sz val="10"/>
      <color indexed="62"/>
      <name val="Arial"/>
    </font>
    <font>
      <sz val="10"/>
      <name val="Arial"/>
      <family val="2"/>
    </font>
    <font>
      <sz val="10"/>
      <color indexed="9"/>
      <name val="Arial"/>
      <family val="2"/>
    </font>
    <font>
      <u/>
      <sz val="10"/>
      <color indexed="12"/>
      <name val="Arial"/>
    </font>
    <font>
      <sz val="10"/>
      <color indexed="61"/>
      <name val="Arial"/>
      <family val="2"/>
    </font>
    <font>
      <sz val="10"/>
      <color indexed="60"/>
      <name val="Arial"/>
    </font>
    <font>
      <sz val="10"/>
      <color indexed="16"/>
      <name val="Arial"/>
    </font>
    <font>
      <sz val="8"/>
      <name val="Arial"/>
    </font>
    <font>
      <sz val="10"/>
      <color indexed="10"/>
      <name val="Arial"/>
    </font>
    <font>
      <sz val="10"/>
      <color indexed="44"/>
      <name val="Arial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0" fillId="2" borderId="1" xfId="1" applyNumberFormat="1" applyFont="1" applyFill="1" applyBorder="1"/>
    <xf numFmtId="43" fontId="0" fillId="2" borderId="1" xfId="1" applyNumberFormat="1" applyFont="1" applyFill="1" applyBorder="1"/>
    <xf numFmtId="0" fontId="0" fillId="2" borderId="0" xfId="0" applyFill="1" applyBorder="1"/>
    <xf numFmtId="166" fontId="3" fillId="3" borderId="0" xfId="1" applyNumberFormat="1" applyFont="1" applyFill="1" applyBorder="1"/>
    <xf numFmtId="9" fontId="0" fillId="4" borderId="0" xfId="3" applyFont="1" applyFill="1"/>
    <xf numFmtId="166" fontId="0" fillId="2" borderId="1" xfId="1" applyNumberFormat="1" applyFont="1" applyFill="1" applyBorder="1"/>
    <xf numFmtId="0" fontId="6" fillId="2" borderId="0" xfId="0" applyFont="1" applyFill="1"/>
    <xf numFmtId="0" fontId="7" fillId="2" borderId="0" xfId="0" applyFont="1" applyFill="1"/>
    <xf numFmtId="0" fontId="3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10" fontId="0" fillId="2" borderId="0" xfId="3" applyNumberFormat="1" applyFont="1" applyFill="1" applyAlignment="1">
      <alignment horizontal="center"/>
    </xf>
    <xf numFmtId="166" fontId="0" fillId="2" borderId="1" xfId="1" applyNumberFormat="1" applyFont="1" applyFill="1" applyBorder="1" applyAlignment="1">
      <alignment horizontal="center"/>
    </xf>
    <xf numFmtId="166" fontId="2" fillId="2" borderId="0" xfId="0" applyNumberFormat="1" applyFont="1" applyFill="1"/>
    <xf numFmtId="0" fontId="8" fillId="2" borderId="0" xfId="2" applyFill="1" applyAlignment="1" applyProtection="1"/>
    <xf numFmtId="0" fontId="9" fillId="2" borderId="0" xfId="0" applyFont="1" applyFill="1"/>
    <xf numFmtId="0" fontId="0" fillId="2" borderId="1" xfId="0" applyFill="1" applyBorder="1" applyAlignment="1">
      <alignment horizontal="right"/>
    </xf>
    <xf numFmtId="164" fontId="3" fillId="3" borderId="0" xfId="0" applyNumberFormat="1" applyFont="1" applyFill="1"/>
    <xf numFmtId="0" fontId="10" fillId="2" borderId="0" xfId="0" applyFont="1" applyFill="1"/>
    <xf numFmtId="0" fontId="7" fillId="2" borderId="0" xfId="0" applyFont="1" applyFill="1" applyAlignment="1">
      <alignment horizontal="center"/>
    </xf>
    <xf numFmtId="165" fontId="7" fillId="2" borderId="0" xfId="0" applyNumberFormat="1" applyFont="1" applyFill="1" applyAlignment="1">
      <alignment horizontal="center"/>
    </xf>
    <xf numFmtId="0" fontId="11" fillId="2" borderId="0" xfId="0" applyFont="1" applyFill="1"/>
    <xf numFmtId="0" fontId="13" fillId="2" borderId="0" xfId="0" applyFont="1" applyFill="1"/>
    <xf numFmtId="43" fontId="2" fillId="2" borderId="0" xfId="0" applyNumberFormat="1" applyFont="1" applyFill="1"/>
    <xf numFmtId="0" fontId="14" fillId="2" borderId="0" xfId="0" applyFont="1" applyFill="1"/>
    <xf numFmtId="0" fontId="0" fillId="5" borderId="0" xfId="0" applyFill="1"/>
    <xf numFmtId="0" fontId="0" fillId="5" borderId="0" xfId="0" applyFill="1" applyAlignment="1">
      <alignment horizontal="right"/>
    </xf>
    <xf numFmtId="167" fontId="0" fillId="5" borderId="0" xfId="0" applyNumberFormat="1" applyFill="1"/>
    <xf numFmtId="43" fontId="3" fillId="3" borderId="0" xfId="1" applyNumberFormat="1" applyFont="1" applyFill="1" applyBorder="1"/>
    <xf numFmtId="0" fontId="0" fillId="0" borderId="0" xfId="0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Upper 95% Confidence Interval for Samples with Zero Defective Units Observed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'Sample Size for P(defective)'!#REF!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'Sample Size for P(defective)'!#REF!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'Sample Size for P(defective)'!#REF!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54-4838-B35B-FBD3E234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16768"/>
        <c:axId val="208419072"/>
      </c:scatterChart>
      <c:valAx>
        <c:axId val="208416768"/>
        <c:scaling>
          <c:orientation val="minMax"/>
          <c:max val="500"/>
        </c:scaling>
        <c:delete val="0"/>
        <c:axPos val="b"/>
        <c:title>
          <c:tx>
            <c:rich>
              <a:bodyPr/>
              <a:lstStyle/>
              <a:p>
                <a:pPr>
                  <a:defRPr sz="2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Sample Size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419072"/>
        <c:crosses val="autoZero"/>
        <c:crossBetween val="midCat"/>
        <c:majorUnit val="50"/>
      </c:valAx>
      <c:valAx>
        <c:axId val="208419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Proportion Defective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416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4477627609981589"/>
          <c:y val="3.341902313624678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298522255802717"/>
          <c:y val="0.17737789203084833"/>
          <c:w val="0.75223935418563004"/>
          <c:h val="0.616966580976863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'Sample Size for P(defective)'!$B$28</c:f>
              <c:strCache>
                <c:ptCount val="1"/>
                <c:pt idx="0">
                  <c:v>Upper Confidence Interval for Sample Size assuming Zero Defective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'Sample Size for P(defective)'!$C$30:$C$48</c:f>
              <c:numCache>
                <c:formatCode>General</c:formatCode>
                <c:ptCount val="19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125</c:v>
                </c:pt>
                <c:pt idx="13">
                  <c:v>150</c:v>
                </c:pt>
                <c:pt idx="14">
                  <c:v>175</c:v>
                </c:pt>
                <c:pt idx="15">
                  <c:v>200</c:v>
                </c:pt>
                <c:pt idx="16">
                  <c:v>300</c:v>
                </c:pt>
                <c:pt idx="17">
                  <c:v>400</c:v>
                </c:pt>
                <c:pt idx="18">
                  <c:v>500</c:v>
                </c:pt>
              </c:numCache>
            </c:numRef>
          </c:xVal>
          <c:yVal>
            <c:numRef>
              <c:f>'Sample Size for P(defective)'!$D$30:$D$48</c:f>
              <c:numCache>
                <c:formatCode>0.00%</c:formatCode>
                <c:ptCount val="19"/>
                <c:pt idx="0">
                  <c:v>0.45050000000000001</c:v>
                </c:pt>
                <c:pt idx="1">
                  <c:v>0.25890000000000002</c:v>
                </c:pt>
                <c:pt idx="2">
                  <c:v>0.18099999999999999</c:v>
                </c:pt>
                <c:pt idx="3">
                  <c:v>0.1391</c:v>
                </c:pt>
                <c:pt idx="4">
                  <c:v>9.5033973383185227E-2</c:v>
                </c:pt>
                <c:pt idx="5">
                  <c:v>7.2157697948190977E-2</c:v>
                </c:pt>
                <c:pt idx="6">
                  <c:v>5.8155214884919537E-2</c:v>
                </c:pt>
                <c:pt idx="7">
                  <c:v>4.8703016521935844E-2</c:v>
                </c:pt>
                <c:pt idx="8">
                  <c:v>4.189354238168342E-2</c:v>
                </c:pt>
                <c:pt idx="9">
                  <c:v>3.6754299693161893E-2</c:v>
                </c:pt>
                <c:pt idx="10">
                  <c:v>3.2738197799098347E-2</c:v>
                </c:pt>
                <c:pt idx="11">
                  <c:v>2.9513126560318112E-2</c:v>
                </c:pt>
                <c:pt idx="12">
                  <c:v>2.3681095944468128E-2</c:v>
                </c:pt>
                <c:pt idx="13">
                  <c:v>1.9773474445778799E-2</c:v>
                </c:pt>
                <c:pt idx="14">
                  <c:v>1.6972829692945675E-2</c:v>
                </c:pt>
                <c:pt idx="15">
                  <c:v>1.4867058166974437E-2</c:v>
                </c:pt>
                <c:pt idx="16">
                  <c:v>9.9361089951528602E-3</c:v>
                </c:pt>
                <c:pt idx="17">
                  <c:v>7.4613976910800281E-3</c:v>
                </c:pt>
                <c:pt idx="18">
                  <c:v>6.0000000000000001E-3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EB-434B-809D-51F6415CB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7360"/>
        <c:axId val="208454016"/>
      </c:scatterChart>
      <c:valAx>
        <c:axId val="208447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Sample Size</a:t>
                </a:r>
              </a:p>
            </c:rich>
          </c:tx>
          <c:layout>
            <c:manualLayout>
              <c:xMode val="edge"/>
              <c:yMode val="edge"/>
              <c:x val="0.50447792533396008"/>
              <c:y val="0.886889460154241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454016"/>
        <c:crosses val="autoZero"/>
        <c:crossBetween val="midCat"/>
      </c:valAx>
      <c:valAx>
        <c:axId val="208454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Upper 95% CI for Proportion Defective</a:t>
                </a:r>
              </a:p>
            </c:rich>
          </c:tx>
          <c:layout>
            <c:manualLayout>
              <c:xMode val="edge"/>
              <c:yMode val="edge"/>
              <c:x val="2.3880597014925373E-2"/>
              <c:y val="0.20051413881748073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447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1.xml"/><Relationship Id="rId5" Type="http://schemas.openxmlformats.org/officeDocument/2006/relationships/chart" Target="../charts/chart2.xml"/><Relationship Id="rId4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76200</xdr:rowOff>
    </xdr:from>
    <xdr:to>
      <xdr:col>1</xdr:col>
      <xdr:colOff>1847850</xdr:colOff>
      <xdr:row>0</xdr:row>
      <xdr:rowOff>419100</xdr:rowOff>
    </xdr:to>
    <xdr:pic>
      <xdr:nvPicPr>
        <xdr:cNvPr id="2055" name="Picture 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76200"/>
          <a:ext cx="18288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152400</xdr:colOff>
      <xdr:row>33</xdr:row>
      <xdr:rowOff>76200</xdr:rowOff>
    </xdr:from>
    <xdr:to>
      <xdr:col>2</xdr:col>
      <xdr:colOff>419100</xdr:colOff>
      <xdr:row>35</xdr:row>
      <xdr:rowOff>123825</xdr:rowOff>
    </xdr:to>
    <xdr:pic>
      <xdr:nvPicPr>
        <xdr:cNvPr id="2056" name="Picture 2" descr="N = (t(alpha/2) + t(beta))**2*(s/delta)**2 for a two-sided test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6105525"/>
          <a:ext cx="287655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85725</xdr:colOff>
      <xdr:row>36</xdr:row>
      <xdr:rowOff>114300</xdr:rowOff>
    </xdr:from>
    <xdr:to>
      <xdr:col>2</xdr:col>
      <xdr:colOff>219075</xdr:colOff>
      <xdr:row>39</xdr:row>
      <xdr:rowOff>0</xdr:rowOff>
    </xdr:to>
    <xdr:pic>
      <xdr:nvPicPr>
        <xdr:cNvPr id="2057" name="Picture 3" descr="N = (t(alpha) + t(beta))**2*(s/delta)**2 for a one-sided test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629400"/>
          <a:ext cx="274320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1838325</xdr:colOff>
      <xdr:row>2</xdr:row>
      <xdr:rowOff>142875</xdr:rowOff>
    </xdr:to>
    <xdr:pic>
      <xdr:nvPicPr>
        <xdr:cNvPr id="5146" name="Picture 1">
          <a:extLst>
            <a:ext uri="{FF2B5EF4-FFF2-40B4-BE49-F238E27FC236}">
              <a16:creationId xmlns:a16="http://schemas.microsoft.com/office/drawing/2014/main" id="{00000000-0008-0000-0100-00001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123825"/>
          <a:ext cx="18288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0</xdr:row>
      <xdr:rowOff>0</xdr:rowOff>
    </xdr:from>
    <xdr:to>
      <xdr:col>13</xdr:col>
      <xdr:colOff>9525</xdr:colOff>
      <xdr:row>0</xdr:row>
      <xdr:rowOff>0</xdr:rowOff>
    </xdr:to>
    <xdr:graphicFrame macro="">
      <xdr:nvGraphicFramePr>
        <xdr:cNvPr id="1045" name="Chart 1">
          <a:extLst>
            <a:ext uri="{FF2B5EF4-FFF2-40B4-BE49-F238E27FC236}">
              <a16:creationId xmlns:a16="http://schemas.microsoft.com/office/drawing/2014/main" id="{00000000-0008-0000-0200-00001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190500</xdr:colOff>
      <xdr:row>14</xdr:row>
      <xdr:rowOff>152400</xdr:rowOff>
    </xdr:from>
    <xdr:to>
      <xdr:col>1</xdr:col>
      <xdr:colOff>2028825</xdr:colOff>
      <xdr:row>17</xdr:row>
      <xdr:rowOff>28575</xdr:rowOff>
    </xdr:to>
    <xdr:pic>
      <xdr:nvPicPr>
        <xdr:cNvPr id="1046" name="Picture 7" descr="N &gt;= (z(alpha/2) + z(beta))**2*[p(1-p)/delta**2]*z(alpha/2)**2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2800350"/>
          <a:ext cx="18383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180975</xdr:colOff>
      <xdr:row>18</xdr:row>
      <xdr:rowOff>0</xdr:rowOff>
    </xdr:from>
    <xdr:to>
      <xdr:col>1</xdr:col>
      <xdr:colOff>1885950</xdr:colOff>
      <xdr:row>20</xdr:row>
      <xdr:rowOff>38100</xdr:rowOff>
    </xdr:to>
    <xdr:pic>
      <xdr:nvPicPr>
        <xdr:cNvPr id="1047" name="Picture 8" descr="N &gt;= (z(alpha) + z(beta))**2*[p(1-p)/delta**2]*z(alpha)**2">
          <a:extLst>
            <a:ext uri="{FF2B5EF4-FFF2-40B4-BE49-F238E27FC236}">
              <a16:creationId xmlns:a16="http://schemas.microsoft.com/office/drawing/2014/main" id="{00000000-0008-0000-02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3295650"/>
          <a:ext cx="170497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76200</xdr:colOff>
      <xdr:row>0</xdr:row>
      <xdr:rowOff>0</xdr:rowOff>
    </xdr:from>
    <xdr:to>
      <xdr:col>1</xdr:col>
      <xdr:colOff>1295400</xdr:colOff>
      <xdr:row>0</xdr:row>
      <xdr:rowOff>0</xdr:rowOff>
    </xdr:to>
    <xdr:pic>
      <xdr:nvPicPr>
        <xdr:cNvPr id="1048" name="Picture 12">
          <a:extLst>
            <a:ext uri="{FF2B5EF4-FFF2-40B4-BE49-F238E27FC236}">
              <a16:creationId xmlns:a16="http://schemas.microsoft.com/office/drawing/2014/main" id="{00000000-0008-0000-02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0"/>
          <a:ext cx="1828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76200</xdr:colOff>
      <xdr:row>0</xdr:row>
      <xdr:rowOff>123825</xdr:rowOff>
    </xdr:from>
    <xdr:to>
      <xdr:col>1</xdr:col>
      <xdr:colOff>1905000</xdr:colOff>
      <xdr:row>2</xdr:row>
      <xdr:rowOff>142875</xdr:rowOff>
    </xdr:to>
    <xdr:pic>
      <xdr:nvPicPr>
        <xdr:cNvPr id="1049" name="Picture 13">
          <a:extLst>
            <a:ext uri="{FF2B5EF4-FFF2-40B4-BE49-F238E27FC236}">
              <a16:creationId xmlns:a16="http://schemas.microsoft.com/office/drawing/2014/main" id="{00000000-0008-0000-02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23825"/>
          <a:ext cx="18288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247650</xdr:colOff>
      <xdr:row>29</xdr:row>
      <xdr:rowOff>133350</xdr:rowOff>
    </xdr:from>
    <xdr:to>
      <xdr:col>14</xdr:col>
      <xdr:colOff>523875</xdr:colOff>
      <xdr:row>52</xdr:row>
      <xdr:rowOff>114300</xdr:rowOff>
    </xdr:to>
    <xdr:graphicFrame macro="">
      <xdr:nvGraphicFramePr>
        <xdr:cNvPr id="1050" name="Chart 14">
          <a:extLst>
            <a:ext uri="{FF2B5EF4-FFF2-40B4-BE49-F238E27FC236}">
              <a16:creationId xmlns:a16="http://schemas.microsoft.com/office/drawing/2014/main" id="{00000000-0008-0000-0200-00001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1838325</xdr:colOff>
      <xdr:row>2</xdr:row>
      <xdr:rowOff>142875</xdr:rowOff>
    </xdr:to>
    <xdr:pic>
      <xdr:nvPicPr>
        <xdr:cNvPr id="4105" name="Picture 4">
          <a:extLst>
            <a:ext uri="{FF2B5EF4-FFF2-40B4-BE49-F238E27FC236}">
              <a16:creationId xmlns:a16="http://schemas.microsoft.com/office/drawing/2014/main" id="{00000000-0008-0000-0300-00000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123825"/>
          <a:ext cx="18288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1447800</xdr:colOff>
      <xdr:row>25</xdr:row>
      <xdr:rowOff>47625</xdr:rowOff>
    </xdr:to>
    <xdr:pic>
      <xdr:nvPicPr>
        <xdr:cNvPr id="4106" name="Picture 6" descr="A = (k/D(0))*{[(Z(alpha)/SQRT(k) - Z(1-beta)]/[k-1]}^2">
          <a:extLst>
            <a:ext uri="{FF2B5EF4-FFF2-40B4-BE49-F238E27FC236}">
              <a16:creationId xmlns:a16="http://schemas.microsoft.com/office/drawing/2014/main" id="{00000000-0008-0000-0300-00000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09950"/>
          <a:ext cx="14478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638175</xdr:colOff>
      <xdr:row>0</xdr:row>
      <xdr:rowOff>419100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76200"/>
          <a:ext cx="18288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dr-tom.com/" TargetMode="External"/><Relationship Id="rId1" Type="http://schemas.openxmlformats.org/officeDocument/2006/relationships/hyperlink" Target="http://www.itl.nist.gov/div898/handbook/prc/section2/prc222.ht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dr-tom.com/" TargetMode="External"/><Relationship Id="rId1" Type="http://schemas.openxmlformats.org/officeDocument/2006/relationships/hyperlink" Target="http://www.itl.nist.gov/div898/handbook/prc/section2/prc232.ht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dr-tom.com/" TargetMode="External"/><Relationship Id="rId1" Type="http://schemas.openxmlformats.org/officeDocument/2006/relationships/hyperlink" Target="http://www.itl.nist.gov/div898/handbook/prc/section2/prc242.htm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www.dr-tom.com/" TargetMode="External"/><Relationship Id="rId1" Type="http://schemas.openxmlformats.org/officeDocument/2006/relationships/hyperlink" Target="http://www.itl.nist.gov/div898/handbook/prc/section2/prc25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A43"/>
  <sheetViews>
    <sheetView workbookViewId="0">
      <selection activeCell="C6" sqref="C6"/>
    </sheetView>
  </sheetViews>
  <sheetFormatPr defaultRowHeight="13.2" x14ac:dyDescent="0.25"/>
  <cols>
    <col min="1" max="1" width="2.6640625" style="1" customWidth="1"/>
    <col min="2" max="2" width="39.109375" style="1" customWidth="1"/>
    <col min="3" max="3" width="13.109375" style="1" customWidth="1"/>
    <col min="4" max="4" width="4.5546875" style="1" customWidth="1"/>
    <col min="5" max="7" width="9.109375" style="1"/>
    <col min="8" max="9" width="9.109375" style="5"/>
    <col min="10" max="12" width="9.109375" style="2"/>
    <col min="13" max="14" width="9.109375" style="20"/>
    <col min="15" max="79" width="9.109375" style="13"/>
  </cols>
  <sheetData>
    <row r="1" spans="2:55" ht="36.75" customHeight="1" x14ac:dyDescent="0.25"/>
    <row r="2" spans="2:55" ht="15.75" customHeight="1" x14ac:dyDescent="0.3">
      <c r="B2" s="4" t="s">
        <v>0</v>
      </c>
    </row>
    <row r="3" spans="2:55" ht="15.75" customHeight="1" x14ac:dyDescent="0.25">
      <c r="B3" s="12" t="s">
        <v>63</v>
      </c>
    </row>
    <row r="4" spans="2:55" ht="13.8" thickBot="1" x14ac:dyDescent="0.3"/>
    <row r="5" spans="2:55" ht="13.8" thickBot="1" x14ac:dyDescent="0.3">
      <c r="B5" s="1" t="s">
        <v>1</v>
      </c>
      <c r="C5" s="7">
        <v>0.05</v>
      </c>
      <c r="E5" s="1" t="s">
        <v>11</v>
      </c>
      <c r="Q5" s="13">
        <f>IF(C12=2,ABS(NORMSINV(C5/2)),ABS(NORMSINV(C5)))</f>
        <v>1.9599639845400538</v>
      </c>
      <c r="R5" s="13">
        <f>TINV(IF($C$12=2,$C$5,$C$5*2),IF(Q13=0,1,Q13))</f>
        <v>1.9673127716992174</v>
      </c>
      <c r="S5" s="13">
        <f>TINV(IF($C$12=2,$C$5,$C$5*2),IF(R13=0,1,R13))</f>
        <v>1.9672451058622706</v>
      </c>
      <c r="T5" s="13">
        <f t="shared" ref="T5:BA5" si="0">TINV(IF($C$12=2,$C$5,$C$5*2),IF(S13=0,1,S13))</f>
        <v>1.9672451058622706</v>
      </c>
      <c r="U5" s="13">
        <f t="shared" si="0"/>
        <v>1.9672451058622706</v>
      </c>
      <c r="V5" s="13">
        <f t="shared" si="0"/>
        <v>1.9672451058622706</v>
      </c>
      <c r="W5" s="13">
        <f t="shared" si="0"/>
        <v>1.9672451058622706</v>
      </c>
      <c r="X5" s="13">
        <f t="shared" si="0"/>
        <v>1.9672451058622706</v>
      </c>
      <c r="Y5" s="13">
        <f t="shared" si="0"/>
        <v>1.9672451058622706</v>
      </c>
      <c r="Z5" s="13">
        <f t="shared" si="0"/>
        <v>1.9672451058622706</v>
      </c>
      <c r="AA5" s="13">
        <f t="shared" si="0"/>
        <v>1.9672451058622706</v>
      </c>
      <c r="AB5" s="13">
        <f t="shared" si="0"/>
        <v>1.9672451058622706</v>
      </c>
      <c r="AC5" s="13">
        <f t="shared" si="0"/>
        <v>1.9672451058622706</v>
      </c>
      <c r="AD5" s="13">
        <f t="shared" si="0"/>
        <v>1.9672451058622706</v>
      </c>
      <c r="AE5" s="13">
        <f t="shared" si="0"/>
        <v>1.9672451058622706</v>
      </c>
      <c r="AF5" s="13">
        <f t="shared" si="0"/>
        <v>1.9672451058622706</v>
      </c>
      <c r="AG5" s="13">
        <f t="shared" si="0"/>
        <v>1.9672451058622706</v>
      </c>
      <c r="AH5" s="13">
        <f t="shared" si="0"/>
        <v>1.9672451058622706</v>
      </c>
      <c r="AI5" s="13">
        <f t="shared" si="0"/>
        <v>1.9672451058622706</v>
      </c>
      <c r="AJ5" s="13">
        <f t="shared" si="0"/>
        <v>1.9672451058622706</v>
      </c>
      <c r="AK5" s="13">
        <f t="shared" si="0"/>
        <v>1.9672451058622706</v>
      </c>
      <c r="AL5" s="13">
        <f t="shared" si="0"/>
        <v>1.9672451058622706</v>
      </c>
      <c r="AM5" s="13">
        <f t="shared" si="0"/>
        <v>1.9672451058622706</v>
      </c>
      <c r="AN5" s="13">
        <f t="shared" si="0"/>
        <v>1.9672451058622706</v>
      </c>
      <c r="AO5" s="13">
        <f t="shared" si="0"/>
        <v>1.9672451058622706</v>
      </c>
      <c r="AP5" s="13">
        <f t="shared" si="0"/>
        <v>1.9672451058622706</v>
      </c>
      <c r="AQ5" s="13">
        <f t="shared" si="0"/>
        <v>1.9672451058622706</v>
      </c>
      <c r="AR5" s="13">
        <f t="shared" si="0"/>
        <v>1.9672451058622706</v>
      </c>
      <c r="AS5" s="13">
        <f t="shared" si="0"/>
        <v>1.9672451058622706</v>
      </c>
      <c r="AT5" s="13">
        <f t="shared" si="0"/>
        <v>1.9672451058622706</v>
      </c>
      <c r="AU5" s="13">
        <f t="shared" si="0"/>
        <v>1.9672451058622706</v>
      </c>
      <c r="AV5" s="13">
        <f t="shared" si="0"/>
        <v>1.9672451058622706</v>
      </c>
      <c r="AW5" s="13">
        <f t="shared" si="0"/>
        <v>1.9672451058622706</v>
      </c>
      <c r="AX5" s="13">
        <f t="shared" si="0"/>
        <v>1.9672451058622706</v>
      </c>
      <c r="AY5" s="13">
        <f t="shared" si="0"/>
        <v>1.9672451058622706</v>
      </c>
      <c r="AZ5" s="13">
        <f t="shared" si="0"/>
        <v>1.9672451058622706</v>
      </c>
      <c r="BA5" s="13">
        <f t="shared" si="0"/>
        <v>1.9672451058622706</v>
      </c>
    </row>
    <row r="6" spans="2:55" ht="13.8" thickBot="1" x14ac:dyDescent="0.3">
      <c r="B6" s="1" t="s">
        <v>9</v>
      </c>
      <c r="C6" s="10">
        <f>1-C5</f>
        <v>0.95</v>
      </c>
      <c r="E6" s="1" t="s">
        <v>10</v>
      </c>
    </row>
    <row r="7" spans="2:55" ht="13.8" thickBot="1" x14ac:dyDescent="0.3">
      <c r="B7" s="1" t="s">
        <v>4</v>
      </c>
      <c r="C7" s="6">
        <v>0.01</v>
      </c>
      <c r="E7" s="1" t="s">
        <v>12</v>
      </c>
      <c r="Q7" s="13">
        <f>ABS(NORMSINV(C8))</f>
        <v>1.6448536269514726</v>
      </c>
      <c r="R7" s="13">
        <f>TINV($C$8*2,IF(Q13=0,1,Q13))</f>
        <v>1.6495701759235313</v>
      </c>
      <c r="S7" s="13">
        <f t="shared" ref="S7:AR7" si="1">TINV($C$8*2,IF(R13=0,1,R13))</f>
        <v>1.6495267813288907</v>
      </c>
      <c r="T7" s="13">
        <f t="shared" si="1"/>
        <v>1.6495267813288907</v>
      </c>
      <c r="U7" s="13">
        <f t="shared" si="1"/>
        <v>1.6495267813288907</v>
      </c>
      <c r="V7" s="13">
        <f t="shared" si="1"/>
        <v>1.6495267813288907</v>
      </c>
      <c r="W7" s="13">
        <f t="shared" si="1"/>
        <v>1.6495267813288907</v>
      </c>
      <c r="X7" s="13">
        <f t="shared" si="1"/>
        <v>1.6495267813288907</v>
      </c>
      <c r="Y7" s="13">
        <f t="shared" si="1"/>
        <v>1.6495267813288907</v>
      </c>
      <c r="Z7" s="13">
        <f t="shared" si="1"/>
        <v>1.6495267813288907</v>
      </c>
      <c r="AA7" s="13">
        <f t="shared" si="1"/>
        <v>1.6495267813288907</v>
      </c>
      <c r="AB7" s="13">
        <f t="shared" si="1"/>
        <v>1.6495267813288907</v>
      </c>
      <c r="AC7" s="13">
        <f t="shared" si="1"/>
        <v>1.6495267813288907</v>
      </c>
      <c r="AD7" s="13">
        <f t="shared" si="1"/>
        <v>1.6495267813288907</v>
      </c>
      <c r="AE7" s="13">
        <f t="shared" si="1"/>
        <v>1.6495267813288907</v>
      </c>
      <c r="AF7" s="13">
        <f t="shared" si="1"/>
        <v>1.6495267813288907</v>
      </c>
      <c r="AG7" s="13">
        <f t="shared" si="1"/>
        <v>1.6495267813288907</v>
      </c>
      <c r="AH7" s="13">
        <f t="shared" si="1"/>
        <v>1.6495267813288907</v>
      </c>
      <c r="AI7" s="13">
        <f t="shared" si="1"/>
        <v>1.6495267813288907</v>
      </c>
      <c r="AJ7" s="13">
        <f t="shared" si="1"/>
        <v>1.6495267813288907</v>
      </c>
      <c r="AK7" s="13">
        <f t="shared" si="1"/>
        <v>1.6495267813288907</v>
      </c>
      <c r="AL7" s="13">
        <f t="shared" si="1"/>
        <v>1.6495267813288907</v>
      </c>
      <c r="AM7" s="13">
        <f t="shared" si="1"/>
        <v>1.6495267813288907</v>
      </c>
      <c r="AN7" s="13">
        <f t="shared" si="1"/>
        <v>1.6495267813288907</v>
      </c>
      <c r="AO7" s="13">
        <f t="shared" si="1"/>
        <v>1.6495267813288907</v>
      </c>
      <c r="AP7" s="13">
        <f t="shared" si="1"/>
        <v>1.6495267813288907</v>
      </c>
      <c r="AQ7" s="13">
        <f t="shared" si="1"/>
        <v>1.6495267813288907</v>
      </c>
      <c r="AR7" s="13">
        <f t="shared" si="1"/>
        <v>1.6495267813288907</v>
      </c>
      <c r="AS7" s="13">
        <f t="shared" ref="AS7:BA7" si="2">TINV($C$8*2,IF(AR13=0,1,AR13))</f>
        <v>1.6495267813288907</v>
      </c>
      <c r="AT7" s="13">
        <f t="shared" si="2"/>
        <v>1.6495267813288907</v>
      </c>
      <c r="AU7" s="13">
        <f t="shared" si="2"/>
        <v>1.6495267813288907</v>
      </c>
      <c r="AV7" s="13">
        <f t="shared" si="2"/>
        <v>1.6495267813288907</v>
      </c>
      <c r="AW7" s="13">
        <f t="shared" si="2"/>
        <v>1.6495267813288907</v>
      </c>
      <c r="AX7" s="13">
        <f t="shared" si="2"/>
        <v>1.6495267813288907</v>
      </c>
      <c r="AY7" s="13">
        <f t="shared" si="2"/>
        <v>1.6495267813288907</v>
      </c>
      <c r="AZ7" s="13">
        <f t="shared" si="2"/>
        <v>1.6495267813288907</v>
      </c>
      <c r="BA7" s="13">
        <f t="shared" si="2"/>
        <v>1.6495267813288907</v>
      </c>
    </row>
    <row r="8" spans="2:55" ht="13.8" thickBot="1" x14ac:dyDescent="0.3">
      <c r="B8" s="1" t="s">
        <v>2</v>
      </c>
      <c r="C8" s="7">
        <v>0.05</v>
      </c>
      <c r="E8" s="1" t="s">
        <v>16</v>
      </c>
    </row>
    <row r="9" spans="2:55" ht="13.8" thickBot="1" x14ac:dyDescent="0.3">
      <c r="B9" s="1" t="s">
        <v>3</v>
      </c>
      <c r="C9" s="10">
        <f>1-C8</f>
        <v>0.95</v>
      </c>
      <c r="E9" s="1" t="s">
        <v>17</v>
      </c>
    </row>
    <row r="10" spans="2:55" ht="13.8" thickBot="1" x14ac:dyDescent="0.3">
      <c r="B10" s="1" t="s">
        <v>5</v>
      </c>
      <c r="C10" s="6">
        <v>2E-3</v>
      </c>
      <c r="E10" s="1" t="s">
        <v>13</v>
      </c>
    </row>
    <row r="11" spans="2:55" ht="13.8" thickBot="1" x14ac:dyDescent="0.3">
      <c r="B11" s="1" t="s">
        <v>15</v>
      </c>
      <c r="C11" s="8">
        <f>C10/C7</f>
        <v>0.2</v>
      </c>
      <c r="E11" s="1" t="s">
        <v>14</v>
      </c>
      <c r="Q11" s="13">
        <f t="shared" ref="Q11:BA11" si="3">(((Q5+Q7)*$C$7)/$C$10)^2</f>
        <v>324.86775030298685</v>
      </c>
      <c r="R11" s="13">
        <f t="shared" si="3"/>
        <v>327.04605642010557</v>
      </c>
      <c r="S11" s="13">
        <f t="shared" si="3"/>
        <v>327.0259720994078</v>
      </c>
      <c r="T11" s="13">
        <f t="shared" si="3"/>
        <v>327.0259720994078</v>
      </c>
      <c r="U11" s="13">
        <f t="shared" si="3"/>
        <v>327.0259720994078</v>
      </c>
      <c r="V11" s="13">
        <f t="shared" si="3"/>
        <v>327.0259720994078</v>
      </c>
      <c r="W11" s="13">
        <f t="shared" si="3"/>
        <v>327.0259720994078</v>
      </c>
      <c r="X11" s="13">
        <f t="shared" si="3"/>
        <v>327.0259720994078</v>
      </c>
      <c r="Y11" s="13">
        <f t="shared" si="3"/>
        <v>327.0259720994078</v>
      </c>
      <c r="Z11" s="13">
        <f t="shared" si="3"/>
        <v>327.0259720994078</v>
      </c>
      <c r="AA11" s="13">
        <f t="shared" si="3"/>
        <v>327.0259720994078</v>
      </c>
      <c r="AB11" s="13">
        <f t="shared" si="3"/>
        <v>327.0259720994078</v>
      </c>
      <c r="AC11" s="13">
        <f t="shared" si="3"/>
        <v>327.0259720994078</v>
      </c>
      <c r="AD11" s="13">
        <f t="shared" si="3"/>
        <v>327.0259720994078</v>
      </c>
      <c r="AE11" s="13">
        <f t="shared" si="3"/>
        <v>327.0259720994078</v>
      </c>
      <c r="AF11" s="13">
        <f t="shared" si="3"/>
        <v>327.0259720994078</v>
      </c>
      <c r="AG11" s="13">
        <f t="shared" si="3"/>
        <v>327.0259720994078</v>
      </c>
      <c r="AH11" s="13">
        <f t="shared" si="3"/>
        <v>327.0259720994078</v>
      </c>
      <c r="AI11" s="13">
        <f t="shared" si="3"/>
        <v>327.0259720994078</v>
      </c>
      <c r="AJ11" s="13">
        <f t="shared" si="3"/>
        <v>327.0259720994078</v>
      </c>
      <c r="AK11" s="13">
        <f t="shared" si="3"/>
        <v>327.0259720994078</v>
      </c>
      <c r="AL11" s="13">
        <f t="shared" si="3"/>
        <v>327.0259720994078</v>
      </c>
      <c r="AM11" s="13">
        <f t="shared" si="3"/>
        <v>327.0259720994078</v>
      </c>
      <c r="AN11" s="13">
        <f t="shared" si="3"/>
        <v>327.0259720994078</v>
      </c>
      <c r="AO11" s="13">
        <f t="shared" si="3"/>
        <v>327.0259720994078</v>
      </c>
      <c r="AP11" s="13">
        <f t="shared" si="3"/>
        <v>327.0259720994078</v>
      </c>
      <c r="AQ11" s="13">
        <f t="shared" si="3"/>
        <v>327.0259720994078</v>
      </c>
      <c r="AR11" s="13">
        <f t="shared" si="3"/>
        <v>327.0259720994078</v>
      </c>
      <c r="AS11" s="13">
        <f t="shared" si="3"/>
        <v>327.0259720994078</v>
      </c>
      <c r="AT11" s="13">
        <f t="shared" si="3"/>
        <v>327.0259720994078</v>
      </c>
      <c r="AU11" s="13">
        <f t="shared" si="3"/>
        <v>327.0259720994078</v>
      </c>
      <c r="AV11" s="13">
        <f t="shared" si="3"/>
        <v>327.0259720994078</v>
      </c>
      <c r="AW11" s="13">
        <f t="shared" si="3"/>
        <v>327.0259720994078</v>
      </c>
      <c r="AX11" s="13">
        <f t="shared" si="3"/>
        <v>327.0259720994078</v>
      </c>
      <c r="AY11" s="13">
        <f t="shared" si="3"/>
        <v>327.0259720994078</v>
      </c>
      <c r="AZ11" s="13">
        <f t="shared" si="3"/>
        <v>327.0259720994078</v>
      </c>
      <c r="BA11" s="13">
        <f t="shared" si="3"/>
        <v>327.0259720994078</v>
      </c>
      <c r="BC11" s="13">
        <f>AVERAGE(AV11:BA11)</f>
        <v>327.02597209940774</v>
      </c>
    </row>
    <row r="12" spans="2:55" ht="13.8" thickBot="1" x14ac:dyDescent="0.3">
      <c r="B12" s="1" t="s">
        <v>33</v>
      </c>
      <c r="C12" s="17">
        <v>2</v>
      </c>
      <c r="E12" s="1" t="s">
        <v>34</v>
      </c>
    </row>
    <row r="13" spans="2:55" ht="15.6" x14ac:dyDescent="0.3">
      <c r="B13" s="3" t="s">
        <v>6</v>
      </c>
      <c r="C13" s="9">
        <f>IF(C11&gt;2,5,ROUNDUP(BC11,0))</f>
        <v>328</v>
      </c>
      <c r="P13" s="13" t="s">
        <v>8</v>
      </c>
      <c r="Q13" s="13">
        <f>INT(Q11)</f>
        <v>324</v>
      </c>
      <c r="R13" s="13">
        <f>INT(R11)</f>
        <v>327</v>
      </c>
      <c r="S13" s="13">
        <f>INT(S11)</f>
        <v>327</v>
      </c>
      <c r="T13" s="13">
        <f t="shared" ref="T13:BA13" si="4">IF(R13&gt;S13,R13-1,INT(T11))</f>
        <v>327</v>
      </c>
      <c r="U13" s="13">
        <f t="shared" si="4"/>
        <v>327</v>
      </c>
      <c r="V13" s="13">
        <f t="shared" si="4"/>
        <v>327</v>
      </c>
      <c r="W13" s="13">
        <f t="shared" si="4"/>
        <v>327</v>
      </c>
      <c r="X13" s="13">
        <f t="shared" si="4"/>
        <v>327</v>
      </c>
      <c r="Y13" s="13">
        <f t="shared" si="4"/>
        <v>327</v>
      </c>
      <c r="Z13" s="13">
        <f t="shared" si="4"/>
        <v>327</v>
      </c>
      <c r="AA13" s="13">
        <f t="shared" si="4"/>
        <v>327</v>
      </c>
      <c r="AB13" s="13">
        <f t="shared" si="4"/>
        <v>327</v>
      </c>
      <c r="AC13" s="13">
        <f t="shared" si="4"/>
        <v>327</v>
      </c>
      <c r="AD13" s="13">
        <f t="shared" si="4"/>
        <v>327</v>
      </c>
      <c r="AE13" s="13">
        <f t="shared" si="4"/>
        <v>327</v>
      </c>
      <c r="AF13" s="13">
        <f t="shared" si="4"/>
        <v>327</v>
      </c>
      <c r="AG13" s="13">
        <f t="shared" si="4"/>
        <v>327</v>
      </c>
      <c r="AH13" s="13">
        <f t="shared" si="4"/>
        <v>327</v>
      </c>
      <c r="AI13" s="13">
        <f t="shared" si="4"/>
        <v>327</v>
      </c>
      <c r="AJ13" s="13">
        <f t="shared" si="4"/>
        <v>327</v>
      </c>
      <c r="AK13" s="13">
        <f t="shared" si="4"/>
        <v>327</v>
      </c>
      <c r="AL13" s="13">
        <f t="shared" si="4"/>
        <v>327</v>
      </c>
      <c r="AM13" s="13">
        <f t="shared" si="4"/>
        <v>327</v>
      </c>
      <c r="AN13" s="13">
        <f t="shared" si="4"/>
        <v>327</v>
      </c>
      <c r="AO13" s="13">
        <f t="shared" si="4"/>
        <v>327</v>
      </c>
      <c r="AP13" s="13">
        <f t="shared" si="4"/>
        <v>327</v>
      </c>
      <c r="AQ13" s="13">
        <f t="shared" si="4"/>
        <v>327</v>
      </c>
      <c r="AR13" s="13">
        <f t="shared" si="4"/>
        <v>327</v>
      </c>
      <c r="AS13" s="13">
        <f t="shared" si="4"/>
        <v>327</v>
      </c>
      <c r="AT13" s="13">
        <f t="shared" si="4"/>
        <v>327</v>
      </c>
      <c r="AU13" s="13">
        <f t="shared" si="4"/>
        <v>327</v>
      </c>
      <c r="AV13" s="13">
        <f t="shared" si="4"/>
        <v>327</v>
      </c>
      <c r="AW13" s="13">
        <f t="shared" si="4"/>
        <v>327</v>
      </c>
      <c r="AX13" s="13">
        <f t="shared" si="4"/>
        <v>327</v>
      </c>
      <c r="AY13" s="13">
        <f t="shared" si="4"/>
        <v>327</v>
      </c>
      <c r="AZ13" s="13">
        <f t="shared" si="4"/>
        <v>327</v>
      </c>
      <c r="BA13" s="13">
        <f t="shared" si="4"/>
        <v>327</v>
      </c>
    </row>
    <row r="14" spans="2:55" x14ac:dyDescent="0.25">
      <c r="P14" s="13" t="s">
        <v>7</v>
      </c>
      <c r="Q14" s="13">
        <f t="shared" ref="Q14:BA14" si="5">Q13+1</f>
        <v>325</v>
      </c>
      <c r="R14" s="13">
        <f t="shared" si="5"/>
        <v>328</v>
      </c>
      <c r="S14" s="13">
        <f t="shared" si="5"/>
        <v>328</v>
      </c>
      <c r="T14" s="13">
        <f t="shared" si="5"/>
        <v>328</v>
      </c>
      <c r="U14" s="13">
        <f t="shared" si="5"/>
        <v>328</v>
      </c>
      <c r="V14" s="13">
        <f t="shared" si="5"/>
        <v>328</v>
      </c>
      <c r="W14" s="13">
        <f t="shared" si="5"/>
        <v>328</v>
      </c>
      <c r="X14" s="13">
        <f t="shared" si="5"/>
        <v>328</v>
      </c>
      <c r="Y14" s="13">
        <f t="shared" si="5"/>
        <v>328</v>
      </c>
      <c r="Z14" s="13">
        <f t="shared" si="5"/>
        <v>328</v>
      </c>
      <c r="AA14" s="13">
        <f t="shared" si="5"/>
        <v>328</v>
      </c>
      <c r="AB14" s="13">
        <f t="shared" si="5"/>
        <v>328</v>
      </c>
      <c r="AC14" s="13">
        <f t="shared" si="5"/>
        <v>328</v>
      </c>
      <c r="AD14" s="13">
        <f t="shared" si="5"/>
        <v>328</v>
      </c>
      <c r="AE14" s="13">
        <f t="shared" si="5"/>
        <v>328</v>
      </c>
      <c r="AF14" s="13">
        <f t="shared" si="5"/>
        <v>328</v>
      </c>
      <c r="AG14" s="13">
        <f t="shared" si="5"/>
        <v>328</v>
      </c>
      <c r="AH14" s="13">
        <f t="shared" si="5"/>
        <v>328</v>
      </c>
      <c r="AI14" s="13">
        <f t="shared" si="5"/>
        <v>328</v>
      </c>
      <c r="AJ14" s="13">
        <f t="shared" si="5"/>
        <v>328</v>
      </c>
      <c r="AK14" s="13">
        <f t="shared" si="5"/>
        <v>328</v>
      </c>
      <c r="AL14" s="13">
        <f t="shared" si="5"/>
        <v>328</v>
      </c>
      <c r="AM14" s="13">
        <f t="shared" si="5"/>
        <v>328</v>
      </c>
      <c r="AN14" s="13">
        <f t="shared" si="5"/>
        <v>328</v>
      </c>
      <c r="AO14" s="13">
        <f t="shared" si="5"/>
        <v>328</v>
      </c>
      <c r="AP14" s="13">
        <f t="shared" si="5"/>
        <v>328</v>
      </c>
      <c r="AQ14" s="13">
        <f t="shared" si="5"/>
        <v>328</v>
      </c>
      <c r="AR14" s="13">
        <f t="shared" si="5"/>
        <v>328</v>
      </c>
      <c r="AS14" s="13">
        <f t="shared" si="5"/>
        <v>328</v>
      </c>
      <c r="AT14" s="13">
        <f t="shared" si="5"/>
        <v>328</v>
      </c>
      <c r="AU14" s="13">
        <f t="shared" si="5"/>
        <v>328</v>
      </c>
      <c r="AV14" s="13">
        <f t="shared" si="5"/>
        <v>328</v>
      </c>
      <c r="AW14" s="13">
        <f t="shared" si="5"/>
        <v>328</v>
      </c>
      <c r="AX14" s="13">
        <f t="shared" si="5"/>
        <v>328</v>
      </c>
      <c r="AY14" s="13">
        <f t="shared" si="5"/>
        <v>328</v>
      </c>
      <c r="AZ14" s="13">
        <f t="shared" si="5"/>
        <v>328</v>
      </c>
      <c r="BA14" s="13">
        <f t="shared" si="5"/>
        <v>328</v>
      </c>
    </row>
    <row r="16" spans="2:55" ht="17.399999999999999" x14ac:dyDescent="0.3">
      <c r="B16" s="4" t="s">
        <v>19</v>
      </c>
    </row>
    <row r="17" spans="2:5" x14ac:dyDescent="0.25">
      <c r="B17" s="1" t="s">
        <v>20</v>
      </c>
    </row>
    <row r="18" spans="2:5" ht="13.8" thickBot="1" x14ac:dyDescent="0.3"/>
    <row r="19" spans="2:5" ht="13.8" thickBot="1" x14ac:dyDescent="0.3">
      <c r="B19" s="1" t="s">
        <v>1</v>
      </c>
      <c r="C19" s="7">
        <v>0.05</v>
      </c>
      <c r="E19" s="1" t="s">
        <v>11</v>
      </c>
    </row>
    <row r="20" spans="2:5" ht="13.8" thickBot="1" x14ac:dyDescent="0.3">
      <c r="B20" s="1" t="s">
        <v>9</v>
      </c>
      <c r="C20" s="10">
        <f>1-C19</f>
        <v>0.95</v>
      </c>
      <c r="E20" s="1" t="s">
        <v>10</v>
      </c>
    </row>
    <row r="21" spans="2:5" ht="13.8" thickBot="1" x14ac:dyDescent="0.3">
      <c r="B21" s="1" t="s">
        <v>4</v>
      </c>
      <c r="C21" s="6">
        <v>0.01</v>
      </c>
      <c r="E21" s="1" t="s">
        <v>12</v>
      </c>
    </row>
    <row r="22" spans="2:5" ht="13.8" thickBot="1" x14ac:dyDescent="0.3">
      <c r="B22" s="1" t="s">
        <v>2</v>
      </c>
      <c r="C22" s="7">
        <v>0.05</v>
      </c>
      <c r="E22" s="1" t="s">
        <v>16</v>
      </c>
    </row>
    <row r="23" spans="2:5" ht="13.8" thickBot="1" x14ac:dyDescent="0.3">
      <c r="B23" s="1" t="s">
        <v>3</v>
      </c>
      <c r="C23" s="10">
        <f>1-C22</f>
        <v>0.95</v>
      </c>
      <c r="E23" s="1" t="s">
        <v>17</v>
      </c>
    </row>
    <row r="24" spans="2:5" ht="13.8" thickBot="1" x14ac:dyDescent="0.3">
      <c r="B24" s="1" t="s">
        <v>18</v>
      </c>
      <c r="C24" s="11">
        <v>328</v>
      </c>
      <c r="E24" s="1" t="s">
        <v>35</v>
      </c>
    </row>
    <row r="25" spans="2:5" ht="13.8" thickBot="1" x14ac:dyDescent="0.3">
      <c r="B25" s="1" t="s">
        <v>33</v>
      </c>
      <c r="C25" s="11">
        <v>1</v>
      </c>
      <c r="E25" s="1" t="s">
        <v>34</v>
      </c>
    </row>
    <row r="26" spans="2:5" ht="13.8" thickBot="1" x14ac:dyDescent="0.3">
      <c r="B26" s="1" t="s">
        <v>21</v>
      </c>
      <c r="C26" s="21" t="s">
        <v>22</v>
      </c>
    </row>
    <row r="27" spans="2:5" ht="15.6" x14ac:dyDescent="0.3">
      <c r="B27" s="3" t="s">
        <v>29</v>
      </c>
      <c r="C27" s="22">
        <f>((TINV(IF(C25=2,C19,C19*2),C24-1))+(TINV(C22*2,C24-1)))*(C21/SQRT(C24))</f>
        <v>1.8215975976347907E-3</v>
      </c>
      <c r="E27" s="1" t="s">
        <v>26</v>
      </c>
    </row>
    <row r="29" spans="2:5" x14ac:dyDescent="0.25">
      <c r="B29" s="1" t="s">
        <v>48</v>
      </c>
    </row>
    <row r="30" spans="2:5" x14ac:dyDescent="0.25">
      <c r="B30" s="1" t="s">
        <v>25</v>
      </c>
    </row>
    <row r="31" spans="2:5" x14ac:dyDescent="0.25">
      <c r="B31" s="34" t="s">
        <v>47</v>
      </c>
    </row>
    <row r="32" spans="2:5" x14ac:dyDescent="0.25">
      <c r="B32" s="34"/>
    </row>
    <row r="33" spans="2:2" x14ac:dyDescent="0.25">
      <c r="B33" s="34"/>
    </row>
    <row r="40" spans="2:2" x14ac:dyDescent="0.25">
      <c r="B40" s="19" t="s">
        <v>46</v>
      </c>
    </row>
    <row r="42" spans="2:2" x14ac:dyDescent="0.25">
      <c r="B42" s="26" t="s">
        <v>80</v>
      </c>
    </row>
    <row r="43" spans="2:2" x14ac:dyDescent="0.25">
      <c r="B43" s="19" t="s">
        <v>77</v>
      </c>
    </row>
  </sheetData>
  <mergeCells count="1">
    <mergeCell ref="B31:B33"/>
  </mergeCells>
  <phoneticPr fontId="0" type="noConversion"/>
  <hyperlinks>
    <hyperlink ref="B40" r:id="rId1" xr:uid="{00000000-0004-0000-0000-000000000000}"/>
    <hyperlink ref="B43" r:id="rId2" xr:uid="{00000000-0004-0000-0000-000001000000}"/>
  </hyperlinks>
  <pageMargins left="0.75" right="0.75" top="1" bottom="1" header="0.5" footer="0.5"/>
  <pageSetup orientation="portrait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4:Z1594"/>
  <sheetViews>
    <sheetView workbookViewId="0"/>
  </sheetViews>
  <sheetFormatPr defaultColWidth="9.109375" defaultRowHeight="13.2" x14ac:dyDescent="0.25"/>
  <cols>
    <col min="1" max="1" width="5.6640625" style="1" customWidth="1"/>
    <col min="2" max="2" width="35.44140625" style="1" customWidth="1"/>
    <col min="3" max="3" width="13.44140625" style="1" customWidth="1"/>
    <col min="4" max="9" width="9.109375" style="1"/>
    <col min="10" max="15" width="9.109375" style="2"/>
    <col min="16" max="18" width="9.109375" style="29"/>
    <col min="19" max="16384" width="9.109375" style="1"/>
  </cols>
  <sheetData>
    <row r="4" spans="2:26" ht="17.399999999999999" x14ac:dyDescent="0.3">
      <c r="B4" s="4" t="s">
        <v>78</v>
      </c>
    </row>
    <row r="5" spans="2:26" x14ac:dyDescent="0.25">
      <c r="B5" s="12" t="s">
        <v>64</v>
      </c>
    </row>
    <row r="6" spans="2:26" ht="13.8" thickBot="1" x14ac:dyDescent="0.3"/>
    <row r="7" spans="2:26" ht="13.8" thickBot="1" x14ac:dyDescent="0.3">
      <c r="B7" s="1" t="s">
        <v>1</v>
      </c>
      <c r="C7" s="7">
        <v>0.05</v>
      </c>
      <c r="E7" s="1" t="s">
        <v>70</v>
      </c>
    </row>
    <row r="8" spans="2:26" ht="13.8" thickBot="1" x14ac:dyDescent="0.3">
      <c r="B8" s="1" t="s">
        <v>9</v>
      </c>
      <c r="C8" s="10">
        <f>1-C7</f>
        <v>0.95</v>
      </c>
      <c r="E8" s="1" t="s">
        <v>71</v>
      </c>
    </row>
    <row r="9" spans="2:26" ht="13.8" thickBot="1" x14ac:dyDescent="0.3">
      <c r="B9" s="1" t="s">
        <v>68</v>
      </c>
      <c r="C9" s="6">
        <v>6.0000000000000001E-3</v>
      </c>
      <c r="E9" s="1" t="s">
        <v>72</v>
      </c>
    </row>
    <row r="10" spans="2:26" ht="13.8" thickBot="1" x14ac:dyDescent="0.3">
      <c r="B10" s="1" t="s">
        <v>2</v>
      </c>
      <c r="C10" s="7">
        <v>0.05</v>
      </c>
      <c r="E10" s="1" t="s">
        <v>73</v>
      </c>
    </row>
    <row r="11" spans="2:26" ht="13.8" thickBot="1" x14ac:dyDescent="0.3">
      <c r="B11" s="1" t="s">
        <v>3</v>
      </c>
      <c r="C11" s="10">
        <f>1-C10</f>
        <v>0.95</v>
      </c>
      <c r="E11" s="1" t="s">
        <v>74</v>
      </c>
    </row>
    <row r="12" spans="2:26" ht="13.8" thickBot="1" x14ac:dyDescent="0.3">
      <c r="B12" s="1" t="s">
        <v>69</v>
      </c>
      <c r="C12" s="6">
        <v>6.0000000000000001E-3</v>
      </c>
      <c r="E12" s="1" t="s">
        <v>75</v>
      </c>
    </row>
    <row r="13" spans="2:26" ht="15.6" x14ac:dyDescent="0.3">
      <c r="B13" s="3" t="s">
        <v>6</v>
      </c>
      <c r="C13" s="9">
        <f>MAX(N15:N793)+1</f>
        <v>46</v>
      </c>
      <c r="E13" s="1" t="s">
        <v>54</v>
      </c>
    </row>
    <row r="14" spans="2:26" x14ac:dyDescent="0.25">
      <c r="S14" s="2"/>
      <c r="T14" s="2"/>
      <c r="U14" s="2"/>
      <c r="V14" s="2"/>
      <c r="W14" s="2"/>
      <c r="X14" s="2"/>
      <c r="Y14" s="2"/>
      <c r="Z14" s="2"/>
    </row>
    <row r="15" spans="2:26" ht="12.75" customHeight="1" x14ac:dyDescent="0.25">
      <c r="B15" s="27" t="s">
        <v>79</v>
      </c>
      <c r="D15" s="23"/>
      <c r="E15" s="23"/>
      <c r="F15" s="23"/>
      <c r="G15" s="24"/>
      <c r="H15" s="24" t="s">
        <v>52</v>
      </c>
      <c r="J15" s="28">
        <f>1+(C12^2)/(C9^2)</f>
        <v>2</v>
      </c>
      <c r="K15" s="2">
        <v>1</v>
      </c>
      <c r="L15" s="2">
        <f>CHIINV($C$7,K15)/$J$15</f>
        <v>1.9207294103470618</v>
      </c>
      <c r="M15" s="2">
        <f>CHIDIST(L15,K15)</f>
        <v>0.16577627289570404</v>
      </c>
      <c r="N15" s="2">
        <f>IF(M15&lt;$C$11,K15,"")</f>
        <v>1</v>
      </c>
      <c r="S15" s="2"/>
      <c r="T15" s="2"/>
      <c r="U15" s="2"/>
      <c r="V15" s="2"/>
      <c r="W15" s="2"/>
      <c r="X15" s="2"/>
      <c r="Y15" s="2"/>
      <c r="Z15" s="2"/>
    </row>
    <row r="16" spans="2:26" ht="12.75" customHeight="1" x14ac:dyDescent="0.25">
      <c r="D16" s="23"/>
      <c r="G16" s="24">
        <f>ABS(NORMSINV(C7))</f>
        <v>1.6448536269514726</v>
      </c>
      <c r="H16" s="25">
        <f>(C9+C12)/C9</f>
        <v>2</v>
      </c>
      <c r="J16" s="28"/>
      <c r="K16" s="2">
        <v>2</v>
      </c>
      <c r="L16" s="2">
        <f t="shared" ref="L16:L79" si="0">CHIINV($C$7,K16)/$J$15</f>
        <v>2.9957322735539909</v>
      </c>
      <c r="M16" s="2">
        <f>CHIDIST(L16,K16)</f>
        <v>0.22360679774997899</v>
      </c>
      <c r="N16" s="2">
        <f t="shared" ref="N16:N79" si="1">IF(M16&lt;$C$11,K16,"")</f>
        <v>2</v>
      </c>
      <c r="S16" s="2"/>
      <c r="T16" s="2"/>
      <c r="U16" s="2"/>
      <c r="V16" s="2"/>
      <c r="W16" s="2"/>
      <c r="X16" s="2"/>
      <c r="Y16" s="2"/>
      <c r="Z16" s="2"/>
    </row>
    <row r="17" spans="2:26" x14ac:dyDescent="0.25">
      <c r="B17" s="26" t="str">
        <f>'Sample Size for Mean'!B42</f>
        <v>© TLC, 2003 Rev. 1.2</v>
      </c>
      <c r="D17" s="23"/>
      <c r="E17" s="23"/>
      <c r="G17" s="24" t="s">
        <v>50</v>
      </c>
      <c r="H17" s="13"/>
      <c r="K17" s="2">
        <v>3</v>
      </c>
      <c r="L17" s="2">
        <f t="shared" si="0"/>
        <v>3.9073639516255896</v>
      </c>
      <c r="M17" s="2">
        <f>CHIDIST(L17,K17)</f>
        <v>0.27164245975942397</v>
      </c>
      <c r="N17" s="2">
        <f t="shared" si="1"/>
        <v>3</v>
      </c>
      <c r="S17" s="2"/>
      <c r="T17" s="2"/>
      <c r="U17" s="2"/>
      <c r="V17" s="2"/>
      <c r="W17" s="2"/>
      <c r="X17" s="2"/>
      <c r="Y17" s="2"/>
      <c r="Z17" s="2"/>
    </row>
    <row r="18" spans="2:26" x14ac:dyDescent="0.25">
      <c r="B18" s="19" t="s">
        <v>77</v>
      </c>
      <c r="D18" s="23"/>
      <c r="E18" s="23"/>
      <c r="G18" s="24">
        <f>ABS(NORMSINV(C10))</f>
        <v>1.6448536269514726</v>
      </c>
      <c r="H18" s="13"/>
      <c r="K18" s="2">
        <v>4</v>
      </c>
      <c r="L18" s="2">
        <f t="shared" si="0"/>
        <v>4.7438645183905788</v>
      </c>
      <c r="M18" s="2">
        <f>CHIDIST(L18,K18)</f>
        <v>0.31460219588227561</v>
      </c>
      <c r="N18" s="2">
        <f t="shared" si="1"/>
        <v>4</v>
      </c>
      <c r="S18" s="2"/>
      <c r="T18" s="2"/>
      <c r="U18" s="2"/>
      <c r="V18" s="2"/>
      <c r="W18" s="2"/>
      <c r="X18" s="2"/>
      <c r="Y18" s="2"/>
      <c r="Z18" s="2"/>
    </row>
    <row r="19" spans="2:26" x14ac:dyDescent="0.25">
      <c r="B19" s="19" t="s">
        <v>76</v>
      </c>
      <c r="K19" s="2">
        <v>5</v>
      </c>
      <c r="L19" s="2">
        <f t="shared" si="0"/>
        <v>5.5352488467581766</v>
      </c>
      <c r="M19" s="2">
        <f>CHIDIST(L19,K19)</f>
        <v>0.35409619696535499</v>
      </c>
      <c r="N19" s="2">
        <f t="shared" si="1"/>
        <v>5</v>
      </c>
      <c r="S19" s="2"/>
      <c r="T19" s="2"/>
      <c r="U19" s="2"/>
      <c r="V19" s="2"/>
      <c r="W19" s="2"/>
      <c r="X19" s="2"/>
      <c r="Y19" s="2"/>
      <c r="Z19" s="2"/>
    </row>
    <row r="20" spans="2:26" x14ac:dyDescent="0.25">
      <c r="B20" s="1" t="s">
        <v>44</v>
      </c>
      <c r="K20" s="2">
        <v>6</v>
      </c>
      <c r="L20" s="2">
        <f t="shared" si="0"/>
        <v>6.2957936218719892</v>
      </c>
      <c r="M20" s="2">
        <f t="shared" ref="M20:M83" si="2">CHIDIST(L20,K20)</f>
        <v>0.39088375079369569</v>
      </c>
      <c r="N20" s="2">
        <f t="shared" si="1"/>
        <v>6</v>
      </c>
      <c r="S20" s="2"/>
      <c r="T20" s="2"/>
      <c r="U20" s="2"/>
      <c r="V20" s="2"/>
      <c r="W20" s="2"/>
      <c r="X20" s="2"/>
      <c r="Y20" s="2"/>
      <c r="Z20" s="2"/>
    </row>
    <row r="21" spans="2:26" x14ac:dyDescent="0.25">
      <c r="B21" s="34"/>
      <c r="K21" s="2">
        <v>7</v>
      </c>
      <c r="L21" s="2">
        <f t="shared" si="0"/>
        <v>7.0335702246700835</v>
      </c>
      <c r="M21" s="2">
        <f t="shared" si="2"/>
        <v>0.42539293457755156</v>
      </c>
      <c r="N21" s="2">
        <f t="shared" si="1"/>
        <v>7</v>
      </c>
      <c r="S21" s="2"/>
      <c r="T21" s="2"/>
      <c r="U21" s="2"/>
      <c r="V21" s="2"/>
      <c r="W21" s="2"/>
      <c r="X21" s="2"/>
      <c r="Y21" s="2"/>
      <c r="Z21" s="2"/>
    </row>
    <row r="22" spans="2:26" x14ac:dyDescent="0.25">
      <c r="B22" s="34"/>
      <c r="K22" s="2">
        <v>8</v>
      </c>
      <c r="L22" s="2">
        <f t="shared" si="0"/>
        <v>7.7536565279327263</v>
      </c>
      <c r="M22" s="2">
        <f t="shared" si="2"/>
        <v>0.45789626428303998</v>
      </c>
      <c r="N22" s="2">
        <f t="shared" si="1"/>
        <v>8</v>
      </c>
      <c r="S22" s="2"/>
      <c r="T22" s="2"/>
      <c r="U22" s="2"/>
      <c r="V22" s="2"/>
      <c r="W22" s="2"/>
      <c r="X22" s="2"/>
      <c r="Y22" s="2"/>
      <c r="Z22" s="2"/>
    </row>
    <row r="23" spans="2:26" x14ac:dyDescent="0.25">
      <c r="B23" s="34"/>
      <c r="K23" s="2">
        <v>9</v>
      </c>
      <c r="L23" s="2">
        <f t="shared" si="0"/>
        <v>8.4594888023102257</v>
      </c>
      <c r="M23" s="2">
        <f t="shared" si="2"/>
        <v>0.48858393555557611</v>
      </c>
      <c r="N23" s="2">
        <f t="shared" si="1"/>
        <v>9</v>
      </c>
      <c r="S23" s="2"/>
      <c r="T23" s="2"/>
      <c r="U23" s="2"/>
      <c r="V23" s="2"/>
      <c r="W23" s="2"/>
      <c r="X23" s="2"/>
      <c r="Y23" s="2"/>
      <c r="Z23" s="2"/>
    </row>
    <row r="24" spans="2:26" x14ac:dyDescent="0.25">
      <c r="B24" s="34"/>
      <c r="K24" s="2">
        <v>10</v>
      </c>
      <c r="L24" s="2">
        <f t="shared" si="0"/>
        <v>9.1535190266375732</v>
      </c>
      <c r="M24" s="2">
        <f t="shared" si="2"/>
        <v>0.51759877408994415</v>
      </c>
      <c r="N24" s="2">
        <f t="shared" si="1"/>
        <v>10</v>
      </c>
      <c r="S24" s="2"/>
      <c r="T24" s="2"/>
      <c r="U24" s="2"/>
      <c r="V24" s="2"/>
      <c r="W24" s="2"/>
      <c r="X24" s="2"/>
      <c r="Y24" s="2"/>
      <c r="Z24" s="2"/>
    </row>
    <row r="25" spans="2:26" x14ac:dyDescent="0.25">
      <c r="B25" s="34"/>
      <c r="K25" s="2">
        <v>11</v>
      </c>
      <c r="L25" s="2">
        <f t="shared" si="0"/>
        <v>9.8375687863412491</v>
      </c>
      <c r="M25" s="2">
        <f t="shared" si="2"/>
        <v>0.54505455631098165</v>
      </c>
      <c r="N25" s="2">
        <f t="shared" si="1"/>
        <v>11</v>
      </c>
      <c r="S25" s="2"/>
      <c r="T25" s="2"/>
      <c r="U25" s="2"/>
      <c r="V25" s="2"/>
      <c r="W25" s="2"/>
      <c r="X25" s="2"/>
      <c r="Y25" s="2"/>
      <c r="Z25" s="2"/>
    </row>
    <row r="26" spans="2:26" x14ac:dyDescent="0.25">
      <c r="B26" s="34"/>
      <c r="K26" s="2">
        <v>12</v>
      </c>
      <c r="L26" s="2">
        <f t="shared" si="0"/>
        <v>10.513034908741533</v>
      </c>
      <c r="M26" s="2">
        <f t="shared" si="2"/>
        <v>0.57104629544446772</v>
      </c>
      <c r="N26" s="2">
        <f t="shared" si="1"/>
        <v>12</v>
      </c>
      <c r="S26" s="2"/>
      <c r="T26" s="2"/>
      <c r="U26" s="2"/>
      <c r="V26" s="2"/>
      <c r="W26" s="2"/>
      <c r="X26" s="2"/>
      <c r="Y26" s="2"/>
      <c r="Z26" s="2"/>
    </row>
    <row r="27" spans="2:26" x14ac:dyDescent="0.25">
      <c r="K27" s="2">
        <v>13</v>
      </c>
      <c r="L27" s="2">
        <f t="shared" si="0"/>
        <v>11.181016247413469</v>
      </c>
      <c r="M27" s="2">
        <f t="shared" si="2"/>
        <v>0.59565632397642043</v>
      </c>
      <c r="N27" s="2">
        <f t="shared" si="1"/>
        <v>13</v>
      </c>
      <c r="S27" s="2"/>
      <c r="T27" s="2"/>
      <c r="U27" s="2"/>
      <c r="V27" s="2"/>
      <c r="W27" s="2"/>
      <c r="X27" s="2"/>
      <c r="Y27" s="2"/>
      <c r="Z27" s="2"/>
    </row>
    <row r="28" spans="2:26" x14ac:dyDescent="0.25">
      <c r="K28" s="2">
        <v>14</v>
      </c>
      <c r="L28" s="2">
        <f t="shared" si="0"/>
        <v>11.84239565242029</v>
      </c>
      <c r="M28" s="2">
        <f t="shared" si="2"/>
        <v>0.61895803764628909</v>
      </c>
      <c r="N28" s="2">
        <f t="shared" si="1"/>
        <v>14</v>
      </c>
      <c r="S28" s="2"/>
      <c r="T28" s="2"/>
      <c r="U28" s="2"/>
      <c r="V28" s="2"/>
      <c r="W28" s="2"/>
      <c r="X28" s="2"/>
      <c r="Y28" s="2"/>
      <c r="Z28" s="2"/>
    </row>
    <row r="29" spans="2:26" x14ac:dyDescent="0.25">
      <c r="K29" s="2">
        <v>15</v>
      </c>
      <c r="L29" s="2">
        <f t="shared" si="0"/>
        <v>12.497895069864315</v>
      </c>
      <c r="M29" s="2">
        <f t="shared" si="2"/>
        <v>0.64101827421099622</v>
      </c>
      <c r="N29" s="2">
        <f t="shared" si="1"/>
        <v>15</v>
      </c>
      <c r="S29" s="2"/>
      <c r="T29" s="2"/>
      <c r="U29" s="2"/>
      <c r="V29" s="2"/>
      <c r="W29" s="2"/>
      <c r="X29" s="2"/>
      <c r="Y29" s="2"/>
      <c r="Z29" s="2"/>
    </row>
    <row r="30" spans="2:26" x14ac:dyDescent="0.25">
      <c r="K30" s="2">
        <v>16</v>
      </c>
      <c r="L30" s="2">
        <f t="shared" si="0"/>
        <v>13.148113802432119</v>
      </c>
      <c r="M30" s="2">
        <f t="shared" si="2"/>
        <v>0.66189886392256769</v>
      </c>
      <c r="N30" s="2">
        <f t="shared" si="1"/>
        <v>16</v>
      </c>
      <c r="S30" s="2"/>
      <c r="T30" s="2"/>
      <c r="U30" s="2"/>
      <c r="V30" s="2"/>
      <c r="W30" s="2"/>
      <c r="X30" s="2"/>
      <c r="Y30" s="2"/>
      <c r="Z30" s="2"/>
    </row>
    <row r="31" spans="2:26" x14ac:dyDescent="0.25">
      <c r="K31" s="2">
        <v>17</v>
      </c>
      <c r="L31" s="2">
        <f t="shared" si="0"/>
        <v>13.793555819137662</v>
      </c>
      <c r="M31" s="2">
        <f t="shared" si="2"/>
        <v>0.68165766176339693</v>
      </c>
      <c r="N31" s="2">
        <f t="shared" si="1"/>
        <v>17</v>
      </c>
      <c r="S31" s="2"/>
      <c r="T31" s="2"/>
      <c r="U31" s="2"/>
      <c r="V31" s="2"/>
      <c r="W31" s="2"/>
      <c r="X31" s="2"/>
      <c r="Y31" s="2"/>
      <c r="Z31" s="2"/>
    </row>
    <row r="32" spans="2:26" x14ac:dyDescent="0.25">
      <c r="K32" s="2">
        <v>18</v>
      </c>
      <c r="L32" s="2">
        <f t="shared" si="0"/>
        <v>14.434649715196317</v>
      </c>
      <c r="M32" s="2">
        <f t="shared" si="2"/>
        <v>0.70034924733865134</v>
      </c>
      <c r="N32" s="2">
        <f t="shared" si="1"/>
        <v>18</v>
      </c>
      <c r="S32" s="2"/>
      <c r="T32" s="2"/>
      <c r="U32" s="2"/>
      <c r="V32" s="2"/>
      <c r="W32" s="2"/>
      <c r="X32" s="2"/>
      <c r="Y32" s="2"/>
      <c r="Z32" s="2"/>
    </row>
    <row r="33" spans="11:26" x14ac:dyDescent="0.25">
      <c r="K33" s="2">
        <v>19</v>
      </c>
      <c r="L33" s="2">
        <f t="shared" si="0"/>
        <v>15.071763602823077</v>
      </c>
      <c r="M33" s="2">
        <f t="shared" si="2"/>
        <v>0.71802540743989673</v>
      </c>
      <c r="N33" s="2">
        <f t="shared" si="1"/>
        <v>19</v>
      </c>
      <c r="S33" s="2"/>
      <c r="T33" s="2"/>
      <c r="U33" s="2"/>
      <c r="V33" s="2"/>
      <c r="W33" s="2"/>
      <c r="X33" s="2"/>
      <c r="Y33" s="2"/>
      <c r="Z33" s="2"/>
    </row>
    <row r="34" spans="11:26" x14ac:dyDescent="0.25">
      <c r="K34" s="2">
        <v>20</v>
      </c>
      <c r="L34" s="2">
        <f t="shared" si="0"/>
        <v>15.705216422115463</v>
      </c>
      <c r="M34" s="2">
        <f t="shared" si="2"/>
        <v>0.73473547432413755</v>
      </c>
      <c r="N34" s="2">
        <f t="shared" si="1"/>
        <v>20</v>
      </c>
      <c r="S34" s="2"/>
      <c r="T34" s="2"/>
      <c r="U34" s="2"/>
      <c r="V34" s="2"/>
      <c r="W34" s="2"/>
      <c r="X34" s="2"/>
      <c r="Y34" s="2"/>
      <c r="Z34" s="2"/>
    </row>
    <row r="35" spans="11:26" x14ac:dyDescent="0.25">
      <c r="K35" s="2">
        <v>21</v>
      </c>
      <c r="L35" s="2">
        <f t="shared" si="0"/>
        <v>16.335286670458654</v>
      </c>
      <c r="M35" s="2">
        <f t="shared" si="2"/>
        <v>0.75052656711882137</v>
      </c>
      <c r="N35" s="2">
        <f t="shared" si="1"/>
        <v>21</v>
      </c>
      <c r="S35" s="2"/>
      <c r="T35" s="2"/>
      <c r="U35" s="2"/>
      <c r="V35" s="2"/>
      <c r="W35" s="2"/>
      <c r="X35" s="2"/>
      <c r="Y35" s="2"/>
      <c r="Z35" s="2"/>
    </row>
    <row r="36" spans="11:26" x14ac:dyDescent="0.25">
      <c r="K36" s="2">
        <v>22</v>
      </c>
      <c r="L36" s="2">
        <f t="shared" si="0"/>
        <v>16.9622192357219</v>
      </c>
      <c r="M36" s="2">
        <f t="shared" si="2"/>
        <v>0.76544376768288402</v>
      </c>
      <c r="N36" s="2">
        <f t="shared" si="1"/>
        <v>22</v>
      </c>
      <c r="S36" s="2"/>
      <c r="T36" s="2"/>
      <c r="U36" s="2"/>
      <c r="V36" s="2"/>
      <c r="W36" s="2"/>
      <c r="X36" s="2"/>
      <c r="Y36" s="2"/>
      <c r="Z36" s="2"/>
    </row>
    <row r="37" spans="11:26" x14ac:dyDescent="0.25">
      <c r="K37" s="2">
        <v>23</v>
      </c>
      <c r="L37" s="2">
        <f t="shared" si="0"/>
        <v>17.586230813454026</v>
      </c>
      <c r="M37" s="2">
        <f t="shared" si="2"/>
        <v>0.77953025193080072</v>
      </c>
      <c r="N37" s="2">
        <f t="shared" si="1"/>
        <v>23</v>
      </c>
      <c r="S37" s="2"/>
      <c r="T37" s="2"/>
      <c r="U37" s="2"/>
      <c r="V37" s="2"/>
      <c r="W37" s="2"/>
      <c r="X37" s="2"/>
      <c r="Y37" s="2"/>
      <c r="Z37" s="2"/>
    </row>
    <row r="38" spans="11:26" x14ac:dyDescent="0.25">
      <c r="K38" s="2">
        <v>24</v>
      </c>
      <c r="L38" s="2">
        <f t="shared" si="0"/>
        <v>18.207514250903657</v>
      </c>
      <c r="M38" s="2">
        <f t="shared" si="2"/>
        <v>0.79282739086622711</v>
      </c>
      <c r="N38" s="2">
        <f t="shared" si="1"/>
        <v>24</v>
      </c>
      <c r="S38" s="2"/>
      <c r="T38" s="2"/>
      <c r="U38" s="2"/>
      <c r="V38" s="2"/>
      <c r="W38" s="2"/>
      <c r="X38" s="2"/>
      <c r="Y38" s="2"/>
      <c r="Z38" s="2"/>
    </row>
    <row r="39" spans="11:26" x14ac:dyDescent="0.25">
      <c r="K39" s="2">
        <v>25</v>
      </c>
      <c r="L39" s="2">
        <f t="shared" si="0"/>
        <v>18.82624206674139</v>
      </c>
      <c r="M39" s="2">
        <f t="shared" si="2"/>
        <v>0.80537483106820951</v>
      </c>
      <c r="N39" s="2">
        <f t="shared" si="1"/>
        <v>25</v>
      </c>
      <c r="S39" s="2"/>
      <c r="T39" s="2"/>
      <c r="U39" s="2"/>
      <c r="V39" s="2"/>
      <c r="W39" s="2"/>
      <c r="X39" s="2"/>
      <c r="Y39" s="2"/>
      <c r="Z39" s="2"/>
    </row>
    <row r="40" spans="11:26" x14ac:dyDescent="0.25">
      <c r="K40" s="2">
        <v>26</v>
      </c>
      <c r="L40" s="2">
        <f t="shared" si="0"/>
        <v>19.44256932991502</v>
      </c>
      <c r="M40" s="2">
        <f t="shared" si="2"/>
        <v>0.8172105613286913</v>
      </c>
      <c r="N40" s="2">
        <f t="shared" si="1"/>
        <v>26</v>
      </c>
      <c r="S40" s="2"/>
      <c r="T40" s="2"/>
      <c r="U40" s="2"/>
      <c r="V40" s="2"/>
      <c r="W40" s="2"/>
      <c r="X40" s="2"/>
      <c r="Y40" s="2"/>
      <c r="Z40" s="2"/>
    </row>
    <row r="41" spans="11:26" x14ac:dyDescent="0.25">
      <c r="K41" s="2">
        <v>27</v>
      </c>
      <c r="L41" s="2">
        <f t="shared" si="0"/>
        <v>20.056636034706813</v>
      </c>
      <c r="M41" s="2">
        <f t="shared" si="2"/>
        <v>0.82837097005692706</v>
      </c>
      <c r="N41" s="2">
        <f t="shared" si="1"/>
        <v>27</v>
      </c>
      <c r="S41" s="2"/>
      <c r="T41" s="2"/>
      <c r="U41" s="2"/>
      <c r="V41" s="2"/>
      <c r="W41" s="2"/>
      <c r="X41" s="2"/>
      <c r="Y41" s="2"/>
      <c r="Z41" s="2"/>
    </row>
    <row r="42" spans="11:26" x14ac:dyDescent="0.25">
      <c r="K42" s="2">
        <v>28</v>
      </c>
      <c r="L42" s="2">
        <f t="shared" si="0"/>
        <v>20.668569075713698</v>
      </c>
      <c r="M42" s="2">
        <f t="shared" si="2"/>
        <v>0.83889089662664051</v>
      </c>
      <c r="N42" s="2">
        <f t="shared" si="1"/>
        <v>28</v>
      </c>
      <c r="S42" s="2"/>
      <c r="T42" s="2"/>
      <c r="U42" s="2"/>
      <c r="V42" s="2"/>
      <c r="W42" s="2"/>
      <c r="X42" s="2"/>
      <c r="Y42" s="2"/>
      <c r="Z42" s="2"/>
    </row>
    <row r="43" spans="11:26" x14ac:dyDescent="0.25">
      <c r="K43" s="2">
        <v>29</v>
      </c>
      <c r="L43" s="2">
        <f t="shared" si="0"/>
        <v>21.278483902146341</v>
      </c>
      <c r="M43" s="2">
        <f t="shared" si="2"/>
        <v>0.84880367883882823</v>
      </c>
      <c r="N43" s="2">
        <f t="shared" si="1"/>
        <v>29</v>
      </c>
      <c r="S43" s="2"/>
      <c r="T43" s="2"/>
      <c r="U43" s="2"/>
      <c r="V43" s="2"/>
      <c r="W43" s="2"/>
      <c r="X43" s="2"/>
      <c r="Y43" s="2"/>
      <c r="Z43" s="2"/>
    </row>
    <row r="44" spans="11:26" x14ac:dyDescent="0.25">
      <c r="K44" s="2">
        <v>30</v>
      </c>
      <c r="L44" s="2">
        <f t="shared" si="0"/>
        <v>21.886485912871095</v>
      </c>
      <c r="M44" s="2">
        <f t="shared" si="2"/>
        <v>0.85814119797052713</v>
      </c>
      <c r="N44" s="2">
        <f t="shared" si="1"/>
        <v>30</v>
      </c>
      <c r="S44" s="2"/>
      <c r="T44" s="2"/>
      <c r="U44" s="2"/>
      <c r="V44" s="2"/>
      <c r="W44" s="2"/>
      <c r="X44" s="2"/>
      <c r="Y44" s="2"/>
      <c r="Z44" s="2"/>
    </row>
    <row r="45" spans="11:26" x14ac:dyDescent="0.25">
      <c r="K45" s="2">
        <v>31</v>
      </c>
      <c r="L45" s="2">
        <f t="shared" si="0"/>
        <v>22.492671640182571</v>
      </c>
      <c r="M45" s="2">
        <f t="shared" si="2"/>
        <v>0.86693392238607181</v>
      </c>
      <c r="N45" s="2">
        <f t="shared" si="1"/>
        <v>31</v>
      </c>
      <c r="S45" s="2"/>
      <c r="T45" s="2"/>
      <c r="U45" s="2"/>
      <c r="V45" s="2"/>
      <c r="W45" s="2"/>
      <c r="X45" s="2"/>
      <c r="Y45" s="2"/>
      <c r="Z45" s="2"/>
    </row>
    <row r="46" spans="11:26" x14ac:dyDescent="0.25">
      <c r="K46" s="2">
        <v>32</v>
      </c>
      <c r="L46" s="2">
        <f t="shared" si="0"/>
        <v>23.097129760139236</v>
      </c>
      <c r="M46" s="2">
        <f t="shared" si="2"/>
        <v>0.87521095034006091</v>
      </c>
      <c r="N46" s="2">
        <f t="shared" si="1"/>
        <v>32</v>
      </c>
      <c r="S46" s="2"/>
      <c r="T46" s="2"/>
      <c r="U46" s="2"/>
      <c r="V46" s="2"/>
      <c r="W46" s="2"/>
      <c r="X46" s="2"/>
      <c r="Y46" s="2"/>
      <c r="Z46" s="2"/>
    </row>
    <row r="47" spans="11:26" x14ac:dyDescent="0.25">
      <c r="K47" s="2">
        <v>33</v>
      </c>
      <c r="L47" s="2">
        <f t="shared" si="0"/>
        <v>23.699941959540457</v>
      </c>
      <c r="M47" s="2">
        <f t="shared" si="2"/>
        <v>0.88300005235752921</v>
      </c>
      <c r="N47" s="2">
        <f t="shared" si="1"/>
        <v>33</v>
      </c>
      <c r="S47" s="2"/>
      <c r="T47" s="2"/>
      <c r="U47" s="2"/>
      <c r="V47" s="2"/>
      <c r="W47" s="2"/>
      <c r="X47" s="2"/>
      <c r="Y47" s="2"/>
      <c r="Z47" s="2"/>
    </row>
    <row r="48" spans="11:26" x14ac:dyDescent="0.25">
      <c r="K48" s="2">
        <v>34</v>
      </c>
      <c r="L48" s="2">
        <f t="shared" si="0"/>
        <v>24.301183683647096</v>
      </c>
      <c r="M48" s="2">
        <f t="shared" si="2"/>
        <v>0.89032771340680894</v>
      </c>
      <c r="N48" s="2">
        <f t="shared" si="1"/>
        <v>34</v>
      </c>
      <c r="S48" s="2"/>
      <c r="T48" s="2"/>
      <c r="U48" s="2"/>
      <c r="V48" s="2"/>
      <c r="W48" s="2"/>
      <c r="X48" s="2"/>
      <c r="Y48" s="2"/>
      <c r="Z48" s="2"/>
    </row>
    <row r="49" spans="11:26" x14ac:dyDescent="0.25">
      <c r="K49" s="2">
        <v>35</v>
      </c>
      <c r="L49" s="2">
        <f t="shared" si="0"/>
        <v>24.900924784100933</v>
      </c>
      <c r="M49" s="2">
        <f t="shared" si="2"/>
        <v>0.89721917496322723</v>
      </c>
      <c r="N49" s="2">
        <f t="shared" si="1"/>
        <v>35</v>
      </c>
      <c r="S49" s="2"/>
      <c r="T49" s="2"/>
      <c r="U49" s="2"/>
      <c r="V49" s="2"/>
      <c r="W49" s="2"/>
      <c r="X49" s="2"/>
      <c r="Y49" s="2"/>
      <c r="Z49" s="2"/>
    </row>
    <row r="50" spans="11:26" x14ac:dyDescent="0.25">
      <c r="K50" s="2">
        <v>36</v>
      </c>
      <c r="L50" s="2">
        <f t="shared" si="0"/>
        <v>25.499230082855323</v>
      </c>
      <c r="M50" s="2">
        <f t="shared" si="2"/>
        <v>0.90369847698222361</v>
      </c>
      <c r="N50" s="2">
        <f t="shared" si="1"/>
        <v>36</v>
      </c>
      <c r="S50" s="2"/>
      <c r="T50" s="2"/>
      <c r="U50" s="2"/>
      <c r="V50" s="2"/>
      <c r="W50" s="2"/>
      <c r="X50" s="2"/>
      <c r="Y50" s="2"/>
      <c r="Z50" s="2"/>
    </row>
    <row r="51" spans="11:26" x14ac:dyDescent="0.25">
      <c r="K51" s="2">
        <v>37</v>
      </c>
      <c r="L51" s="2">
        <f t="shared" si="0"/>
        <v>26.09615986505144</v>
      </c>
      <c r="M51" s="2">
        <f t="shared" si="2"/>
        <v>0.90978849974801601</v>
      </c>
      <c r="N51" s="2">
        <f t="shared" si="1"/>
        <v>37</v>
      </c>
      <c r="S51" s="2"/>
      <c r="T51" s="2"/>
      <c r="U51" s="2"/>
      <c r="V51" s="2"/>
      <c r="W51" s="2"/>
      <c r="X51" s="2"/>
      <c r="Y51" s="2"/>
      <c r="Z51" s="2"/>
    </row>
    <row r="52" spans="11:26" x14ac:dyDescent="0.25">
      <c r="K52" s="2">
        <v>38</v>
      </c>
      <c r="L52" s="2">
        <f t="shared" si="0"/>
        <v>26.69177031148465</v>
      </c>
      <c r="M52" s="2">
        <f t="shared" si="2"/>
        <v>0.91551100553089815</v>
      </c>
      <c r="N52" s="2">
        <f t="shared" si="1"/>
        <v>38</v>
      </c>
      <c r="S52" s="2"/>
      <c r="T52" s="2"/>
      <c r="U52" s="2"/>
      <c r="V52" s="2"/>
      <c r="W52" s="2"/>
      <c r="X52" s="2"/>
      <c r="Y52" s="2"/>
      <c r="Z52" s="2"/>
    </row>
    <row r="53" spans="11:26" x14ac:dyDescent="0.25">
      <c r="K53" s="2">
        <v>39</v>
      </c>
      <c r="L53" s="2">
        <f t="shared" si="0"/>
        <v>27.286113879470864</v>
      </c>
      <c r="M53" s="2">
        <f t="shared" si="2"/>
        <v>0.92088667996708784</v>
      </c>
      <c r="N53" s="2">
        <f t="shared" si="1"/>
        <v>39</v>
      </c>
      <c r="S53" s="2"/>
      <c r="T53" s="2"/>
      <c r="U53" s="2"/>
      <c r="V53" s="2"/>
      <c r="W53" s="2"/>
      <c r="X53" s="2"/>
      <c r="Y53" s="2"/>
      <c r="Z53" s="2"/>
    </row>
    <row r="54" spans="11:26" x14ac:dyDescent="0.25">
      <c r="K54" s="2">
        <v>40</v>
      </c>
      <c r="L54" s="2">
        <f t="shared" si="0"/>
        <v>27.879239639443515</v>
      </c>
      <c r="M54" s="2">
        <f t="shared" si="2"/>
        <v>0.92593517306569928</v>
      </c>
      <c r="N54" s="2">
        <f t="shared" si="1"/>
        <v>40</v>
      </c>
      <c r="S54" s="2"/>
      <c r="T54" s="2"/>
      <c r="U54" s="2"/>
      <c r="V54" s="2"/>
      <c r="W54" s="2"/>
      <c r="X54" s="2"/>
      <c r="Y54" s="2"/>
      <c r="Z54" s="2"/>
    </row>
    <row r="55" spans="11:26" x14ac:dyDescent="0.25">
      <c r="K55" s="2">
        <v>41</v>
      </c>
      <c r="L55" s="2">
        <f t="shared" si="0"/>
        <v>28.471193573412052</v>
      </c>
      <c r="M55" s="2">
        <f t="shared" si="2"/>
        <v>0.93067513974494842</v>
      </c>
      <c r="N55" s="2">
        <f t="shared" si="1"/>
        <v>41</v>
      </c>
      <c r="S55" s="2"/>
      <c r="T55" s="2"/>
      <c r="U55" s="2"/>
      <c r="V55" s="2"/>
      <c r="W55" s="2"/>
      <c r="X55" s="2"/>
      <c r="Y55" s="2"/>
      <c r="Z55" s="2"/>
    </row>
    <row r="56" spans="11:26" x14ac:dyDescent="0.25">
      <c r="K56" s="2">
        <v>42</v>
      </c>
      <c r="L56" s="2">
        <f t="shared" si="0"/>
        <v>29.062018840434014</v>
      </c>
      <c r="M56" s="2">
        <f t="shared" si="2"/>
        <v>0.93512427980197155</v>
      </c>
      <c r="N56" s="2">
        <f t="shared" si="1"/>
        <v>42</v>
      </c>
      <c r="S56" s="2"/>
      <c r="T56" s="2"/>
      <c r="U56" s="2"/>
      <c r="V56" s="2"/>
      <c r="W56" s="2"/>
      <c r="X56" s="2"/>
      <c r="Y56" s="2"/>
      <c r="Z56" s="2"/>
    </row>
    <row r="57" spans="11:26" x14ac:dyDescent="0.25">
      <c r="K57" s="2">
        <v>43</v>
      </c>
      <c r="L57" s="2">
        <f t="shared" si="0"/>
        <v>29.651756013449909</v>
      </c>
      <c r="M57" s="2">
        <f t="shared" si="2"/>
        <v>0.93929937722606005</v>
      </c>
      <c r="N57" s="2">
        <f t="shared" si="1"/>
        <v>43</v>
      </c>
      <c r="S57" s="2"/>
      <c r="T57" s="2"/>
      <c r="U57" s="2"/>
      <c r="V57" s="2"/>
      <c r="W57" s="2"/>
      <c r="X57" s="2"/>
      <c r="Y57" s="2"/>
      <c r="Z57" s="2"/>
    </row>
    <row r="58" spans="11:26" x14ac:dyDescent="0.25">
      <c r="K58" s="2">
        <v>44</v>
      </c>
      <c r="L58" s="2">
        <f t="shared" si="0"/>
        <v>30.240443291168226</v>
      </c>
      <c r="M58" s="2">
        <f t="shared" si="2"/>
        <v>0.94321633877255628</v>
      </c>
      <c r="N58" s="2">
        <f t="shared" si="1"/>
        <v>44</v>
      </c>
      <c r="S58" s="2"/>
      <c r="T58" s="2"/>
      <c r="U58" s="2"/>
      <c r="V58" s="2"/>
      <c r="W58" s="2"/>
      <c r="X58" s="2"/>
      <c r="Y58" s="2"/>
      <c r="Z58" s="2"/>
    </row>
    <row r="59" spans="11:26" x14ac:dyDescent="0.25">
      <c r="K59" s="2">
        <v>45</v>
      </c>
      <c r="L59" s="2">
        <f t="shared" si="0"/>
        <v>30.828116688139783</v>
      </c>
      <c r="M59" s="2">
        <f t="shared" si="2"/>
        <v>0.94689023172327214</v>
      </c>
      <c r="N59" s="2">
        <f t="shared" si="1"/>
        <v>45</v>
      </c>
      <c r="S59" s="2"/>
      <c r="T59" s="2"/>
      <c r="U59" s="2"/>
      <c r="V59" s="2"/>
      <c r="W59" s="2"/>
      <c r="X59" s="2"/>
      <c r="Y59" s="2"/>
      <c r="Z59" s="2"/>
    </row>
    <row r="60" spans="11:26" x14ac:dyDescent="0.25">
      <c r="K60" s="2">
        <v>46</v>
      </c>
      <c r="L60" s="2">
        <f t="shared" si="0"/>
        <v>31.414810205704089</v>
      </c>
      <c r="M60" s="2">
        <f t="shared" si="2"/>
        <v>0.95033532076849181</v>
      </c>
      <c r="N60" s="2" t="str">
        <f t="shared" si="1"/>
        <v/>
      </c>
      <c r="S60" s="2"/>
      <c r="T60" s="2"/>
      <c r="U60" s="2"/>
      <c r="V60" s="2"/>
      <c r="W60" s="2"/>
      <c r="X60" s="2"/>
      <c r="Y60" s="2"/>
      <c r="Z60" s="2"/>
    </row>
    <row r="61" spans="11:26" x14ac:dyDescent="0.25">
      <c r="K61" s="2">
        <v>47</v>
      </c>
      <c r="L61" s="2">
        <f t="shared" si="0"/>
        <v>32.000555986109013</v>
      </c>
      <c r="M61" s="2">
        <f t="shared" si="2"/>
        <v>0.95356510395497773</v>
      </c>
      <c r="N61" s="2" t="str">
        <f t="shared" si="1"/>
        <v/>
      </c>
      <c r="S61" s="2"/>
      <c r="T61" s="2"/>
      <c r="U61" s="2"/>
      <c r="V61" s="2"/>
      <c r="W61" s="2"/>
      <c r="X61" s="2"/>
      <c r="Y61" s="2"/>
      <c r="Z61" s="2"/>
    </row>
    <row r="62" spans="11:26" x14ac:dyDescent="0.25">
      <c r="K62" s="2">
        <v>48</v>
      </c>
      <c r="L62" s="2">
        <f t="shared" si="0"/>
        <v>32.585384451784918</v>
      </c>
      <c r="M62" s="2">
        <f t="shared" si="2"/>
        <v>0.95659234765359102</v>
      </c>
      <c r="N62" s="2" t="str">
        <f t="shared" si="1"/>
        <v/>
      </c>
      <c r="S62" s="2"/>
      <c r="T62" s="2"/>
      <c r="U62" s="2"/>
      <c r="V62" s="2"/>
      <c r="W62" s="2"/>
      <c r="X62" s="2"/>
      <c r="Y62" s="2"/>
      <c r="Z62" s="2"/>
    </row>
    <row r="63" spans="11:26" x14ac:dyDescent="0.25">
      <c r="K63" s="2">
        <v>49</v>
      </c>
      <c r="L63" s="2">
        <f t="shared" si="0"/>
        <v>33.169324431484412</v>
      </c>
      <c r="M63" s="2">
        <f t="shared" si="2"/>
        <v>0.95942912050899665</v>
      </c>
      <c r="N63" s="2" t="str">
        <f t="shared" si="1"/>
        <v/>
      </c>
      <c r="S63" s="2"/>
      <c r="T63" s="2"/>
      <c r="U63" s="2"/>
      <c r="V63" s="2"/>
      <c r="W63" s="2"/>
      <c r="X63" s="2"/>
      <c r="Y63" s="2"/>
      <c r="Z63" s="2"/>
    </row>
    <row r="64" spans="11:26" x14ac:dyDescent="0.25">
      <c r="K64" s="2">
        <v>50</v>
      </c>
      <c r="L64" s="2">
        <f t="shared" si="0"/>
        <v>33.752403274770593</v>
      </c>
      <c r="M64" s="2">
        <f t="shared" si="2"/>
        <v>0.96208682634226861</v>
      </c>
      <c r="N64" s="2" t="str">
        <f t="shared" si="1"/>
        <v/>
      </c>
      <c r="S64" s="2"/>
      <c r="T64" s="2"/>
      <c r="U64" s="2"/>
      <c r="V64" s="2"/>
      <c r="W64" s="2"/>
      <c r="X64" s="2"/>
      <c r="Y64" s="2"/>
      <c r="Z64" s="2"/>
    </row>
    <row r="65" spans="11:26" x14ac:dyDescent="0.25">
      <c r="K65" s="2">
        <v>51</v>
      </c>
      <c r="L65" s="2">
        <f t="shared" si="0"/>
        <v>34.334646956142898</v>
      </c>
      <c r="M65" s="2">
        <f t="shared" si="2"/>
        <v>0.96457623598499742</v>
      </c>
      <c r="N65" s="2" t="str">
        <f t="shared" si="1"/>
        <v/>
      </c>
      <c r="S65" s="2"/>
      <c r="T65" s="2"/>
      <c r="U65" s="2"/>
      <c r="V65" s="2"/>
      <c r="W65" s="2"/>
      <c r="X65" s="2"/>
      <c r="Y65" s="2"/>
      <c r="Z65" s="2"/>
    </row>
    <row r="66" spans="11:26" x14ac:dyDescent="0.25">
      <c r="K66" s="2">
        <v>52</v>
      </c>
      <c r="L66" s="2">
        <f t="shared" si="0"/>
        <v>34.916080169924065</v>
      </c>
      <c r="M66" s="2">
        <f t="shared" si="2"/>
        <v>0.96690751803065389</v>
      </c>
      <c r="N66" s="2" t="str">
        <f t="shared" si="1"/>
        <v/>
      </c>
      <c r="S66" s="2"/>
      <c r="T66" s="2"/>
      <c r="U66" s="2"/>
      <c r="V66" s="2"/>
      <c r="W66" s="2"/>
      <c r="X66" s="2"/>
      <c r="Y66" s="2"/>
      <c r="Z66" s="2"/>
    </row>
    <row r="67" spans="11:26" x14ac:dyDescent="0.25">
      <c r="K67" s="2">
        <v>53</v>
      </c>
      <c r="L67" s="2">
        <f t="shared" si="0"/>
        <v>35.496726416891143</v>
      </c>
      <c r="M67" s="2">
        <f t="shared" si="2"/>
        <v>0.96909026849548063</v>
      </c>
      <c r="N67" s="2" t="str">
        <f t="shared" si="1"/>
        <v/>
      </c>
      <c r="S67" s="2"/>
      <c r="T67" s="2"/>
      <c r="U67" s="2"/>
      <c r="V67" s="2"/>
      <c r="W67" s="2"/>
      <c r="X67" s="2"/>
      <c r="Y67" s="2"/>
      <c r="Z67" s="2"/>
    </row>
    <row r="68" spans="11:26" x14ac:dyDescent="0.25">
      <c r="K68" s="2">
        <v>54</v>
      </c>
      <c r="L68" s="2">
        <f t="shared" si="0"/>
        <v>36.076608083511552</v>
      </c>
      <c r="M68" s="2">
        <f t="shared" si="2"/>
        <v>0.9711335393870566</v>
      </c>
      <c r="N68" s="2" t="str">
        <f t="shared" si="1"/>
        <v/>
      </c>
      <c r="S68" s="2"/>
      <c r="T68" s="2"/>
      <c r="U68" s="2"/>
      <c r="V68" s="2"/>
      <c r="W68" s="2"/>
      <c r="X68" s="2"/>
      <c r="Y68" s="2"/>
      <c r="Z68" s="2"/>
    </row>
    <row r="69" spans="11:26" x14ac:dyDescent="0.25">
      <c r="K69" s="2">
        <v>55</v>
      </c>
      <c r="L69" s="2">
        <f t="shared" si="0"/>
        <v>36.655746514541626</v>
      </c>
      <c r="M69" s="2">
        <f t="shared" si="2"/>
        <v>0.9730458661839283</v>
      </c>
      <c r="N69" s="2" t="str">
        <f t="shared" si="1"/>
        <v/>
      </c>
      <c r="S69" s="2"/>
      <c r="T69" s="2"/>
      <c r="U69" s="2"/>
      <c r="V69" s="2"/>
      <c r="W69" s="2"/>
      <c r="X69" s="2"/>
      <c r="Y69" s="2"/>
      <c r="Z69" s="2"/>
    </row>
    <row r="70" spans="11:26" x14ac:dyDescent="0.25">
      <c r="K70" s="2">
        <v>56</v>
      </c>
      <c r="L70" s="2">
        <f t="shared" si="0"/>
        <v>37.234162079654681</v>
      </c>
      <c r="M70" s="2">
        <f t="shared" si="2"/>
        <v>0.97483529423435522</v>
      </c>
      <c r="N70" s="2" t="str">
        <f t="shared" si="1"/>
        <v/>
      </c>
      <c r="S70" s="2"/>
      <c r="T70" s="2"/>
      <c r="U70" s="2"/>
      <c r="V70" s="2"/>
      <c r="W70" s="2"/>
      <c r="X70" s="2"/>
      <c r="Y70" s="2"/>
      <c r="Z70" s="2"/>
    </row>
    <row r="71" spans="11:26" x14ac:dyDescent="0.25">
      <c r="K71" s="2">
        <v>57</v>
      </c>
      <c r="L71" s="2">
        <f t="shared" si="0"/>
        <v>37.811874234688034</v>
      </c>
      <c r="M71" s="2">
        <f t="shared" si="2"/>
        <v>0.9765094040862925</v>
      </c>
      <c r="N71" s="2" t="str">
        <f t="shared" si="1"/>
        <v/>
      </c>
      <c r="S71" s="2"/>
      <c r="T71" s="2"/>
      <c r="U71" s="2"/>
      <c r="V71" s="2"/>
      <c r="W71" s="2"/>
      <c r="X71" s="2"/>
      <c r="Y71" s="2"/>
      <c r="Z71" s="2"/>
    </row>
    <row r="72" spans="11:26" x14ac:dyDescent="0.25">
      <c r="K72" s="2">
        <v>58</v>
      </c>
      <c r="L72" s="2">
        <f t="shared" si="0"/>
        <v>38.388901578030747</v>
      </c>
      <c r="M72" s="2">
        <f t="shared" si="2"/>
        <v>0.9780753357642874</v>
      </c>
      <c r="N72" s="2" t="str">
        <f t="shared" si="1"/>
        <v/>
      </c>
      <c r="S72" s="2"/>
      <c r="T72" s="2"/>
      <c r="U72" s="2"/>
      <c r="V72" s="2"/>
      <c r="W72" s="2"/>
      <c r="X72" s="2"/>
      <c r="Y72" s="2"/>
      <c r="Z72" s="2"/>
    </row>
    <row r="73" spans="11:26" x14ac:dyDescent="0.25">
      <c r="K73" s="2">
        <v>59</v>
      </c>
      <c r="L73" s="2">
        <f t="shared" si="0"/>
        <v>38.965261902615211</v>
      </c>
      <c r="M73" s="2">
        <f t="shared" si="2"/>
        <v>0.97953981201201179</v>
      </c>
      <c r="N73" s="2" t="str">
        <f t="shared" si="1"/>
        <v/>
      </c>
      <c r="S73" s="2"/>
      <c r="T73" s="2"/>
      <c r="U73" s="2"/>
      <c r="V73" s="2"/>
      <c r="W73" s="2"/>
      <c r="X73" s="2"/>
      <c r="Y73" s="2"/>
      <c r="Z73" s="2"/>
    </row>
    <row r="74" spans="11:26" x14ac:dyDescent="0.25">
      <c r="K74" s="2">
        <v>60</v>
      </c>
      <c r="L74" s="2">
        <f t="shared" si="0"/>
        <v>39.540972243924358</v>
      </c>
      <c r="M74" s="2">
        <f t="shared" si="2"/>
        <v>0.98090916052175436</v>
      </c>
      <c r="N74" s="2" t="str">
        <f t="shared" si="1"/>
        <v/>
      </c>
      <c r="S74" s="2"/>
      <c r="T74" s="2"/>
      <c r="U74" s="2"/>
      <c r="V74" s="2"/>
      <c r="W74" s="2"/>
      <c r="X74" s="2"/>
      <c r="Y74" s="2"/>
      <c r="Z74" s="2"/>
    </row>
    <row r="75" spans="11:26" x14ac:dyDescent="0.25">
      <c r="K75" s="2">
        <v>61</v>
      </c>
      <c r="L75" s="2">
        <f t="shared" si="0"/>
        <v>40.11604892438136</v>
      </c>
      <c r="M75" s="2">
        <f t="shared" si="2"/>
        <v>0.98218933517436868</v>
      </c>
      <c r="N75" s="2" t="str">
        <f t="shared" si="1"/>
        <v/>
      </c>
      <c r="S75" s="2"/>
      <c r="T75" s="2"/>
      <c r="U75" s="2"/>
      <c r="V75" s="2"/>
      <c r="W75" s="2"/>
      <c r="X75" s="2"/>
      <c r="Y75" s="2"/>
      <c r="Z75" s="2"/>
    </row>
    <row r="76" spans="11:26" x14ac:dyDescent="0.25">
      <c r="K76" s="2">
        <v>62</v>
      </c>
      <c r="L76" s="2">
        <f t="shared" si="0"/>
        <v>40.690507594449549</v>
      </c>
      <c r="M76" s="2">
        <f t="shared" si="2"/>
        <v>0.98338593631496174</v>
      </c>
      <c r="N76" s="2" t="str">
        <f t="shared" si="1"/>
        <v/>
      </c>
      <c r="S76" s="2"/>
      <c r="T76" s="2"/>
      <c r="U76" s="2"/>
      <c r="V76" s="2"/>
      <c r="W76" s="2"/>
      <c r="X76" s="2"/>
      <c r="Y76" s="2"/>
      <c r="Z76" s="2"/>
    </row>
    <row r="77" spans="11:26" x14ac:dyDescent="0.25">
      <c r="K77" s="2">
        <v>63</v>
      </c>
      <c r="L77" s="2">
        <f t="shared" si="0"/>
        <v>41.264363270735899</v>
      </c>
      <c r="M77" s="2">
        <f t="shared" si="2"/>
        <v>0.98450423009106269</v>
      </c>
      <c r="N77" s="2" t="str">
        <f t="shared" si="1"/>
        <v/>
      </c>
      <c r="S77" s="2"/>
      <c r="T77" s="2"/>
      <c r="U77" s="2"/>
      <c r="V77" s="2"/>
      <c r="W77" s="2"/>
      <c r="X77" s="2"/>
      <c r="Y77" s="2"/>
      <c r="Z77" s="2"/>
    </row>
    <row r="78" spans="11:26" x14ac:dyDescent="0.25">
      <c r="K78" s="2">
        <v>64</v>
      </c>
      <c r="L78" s="2">
        <f t="shared" si="0"/>
        <v>41.83763037136049</v>
      </c>
      <c r="M78" s="2">
        <f t="shared" si="2"/>
        <v>0.98554916688113847</v>
      </c>
      <c r="N78" s="2" t="str">
        <f t="shared" si="1"/>
        <v/>
      </c>
      <c r="S78" s="2"/>
      <c r="T78" s="2"/>
      <c r="U78" s="2"/>
      <c r="V78" s="2"/>
      <c r="W78" s="2"/>
      <c r="X78" s="2"/>
      <c r="Y78" s="2"/>
      <c r="Z78" s="2"/>
    </row>
    <row r="79" spans="11:26" x14ac:dyDescent="0.25">
      <c r="K79" s="2">
        <v>65</v>
      </c>
      <c r="L79" s="2">
        <f t="shared" si="0"/>
        <v>42.410322748828335</v>
      </c>
      <c r="M79" s="2">
        <f t="shared" si="2"/>
        <v>0.98652539884217871</v>
      </c>
      <c r="N79" s="2" t="str">
        <f t="shared" si="1"/>
        <v/>
      </c>
      <c r="S79" s="2"/>
      <c r="T79" s="2"/>
      <c r="U79" s="2"/>
      <c r="V79" s="2"/>
      <c r="W79" s="2"/>
      <c r="X79" s="2"/>
      <c r="Y79" s="2"/>
      <c r="Z79" s="2"/>
    </row>
    <row r="80" spans="11:26" x14ac:dyDescent="0.25">
      <c r="K80" s="2">
        <v>66</v>
      </c>
      <c r="L80" s="2">
        <f t="shared" ref="L80:L143" si="3">CHIINV($C$7,K80)/$J$15</f>
        <v>42.982453720615474</v>
      </c>
      <c r="M80" s="2">
        <f t="shared" si="2"/>
        <v>0.98743729660567792</v>
      </c>
      <c r="N80" s="2" t="str">
        <f t="shared" ref="N80:N143" si="4">IF(M80&lt;$C$11,K80,"")</f>
        <v/>
      </c>
      <c r="S80" s="2"/>
      <c r="T80" s="2"/>
      <c r="U80" s="2"/>
      <c r="V80" s="2"/>
      <c r="W80" s="2"/>
      <c r="X80" s="2"/>
      <c r="Y80" s="2"/>
      <c r="Z80" s="2"/>
    </row>
    <row r="81" spans="11:26" x14ac:dyDescent="0.25">
      <c r="K81" s="2">
        <v>67</v>
      </c>
      <c r="L81" s="2">
        <f t="shared" si="3"/>
        <v>43.554036097660962</v>
      </c>
      <c r="M81" s="2">
        <f t="shared" si="2"/>
        <v>0.98828896515171738</v>
      </c>
      <c r="N81" s="2" t="str">
        <f t="shared" si="4"/>
        <v/>
      </c>
      <c r="S81" s="2"/>
      <c r="T81" s="2"/>
      <c r="U81" s="2"/>
      <c r="V81" s="2"/>
      <c r="W81" s="2"/>
      <c r="X81" s="2"/>
      <c r="Y81" s="2"/>
      <c r="Z81" s="2"/>
    </row>
    <row r="82" spans="11:26" x14ac:dyDescent="0.25">
      <c r="K82" s="2">
        <v>68</v>
      </c>
      <c r="L82" s="2">
        <f t="shared" si="3"/>
        <v>44.125082210937066</v>
      </c>
      <c r="M82" s="2">
        <f t="shared" si="2"/>
        <v>0.98908425889104268</v>
      </c>
      <c r="N82" s="2" t="str">
        <f t="shared" si="4"/>
        <v/>
      </c>
      <c r="S82" s="2"/>
      <c r="T82" s="2"/>
      <c r="U82" s="2"/>
      <c r="V82" s="2"/>
      <c r="W82" s="2"/>
      <c r="X82" s="2"/>
      <c r="Y82" s="2"/>
      <c r="Z82" s="2"/>
    </row>
    <row r="83" spans="11:26" x14ac:dyDescent="0.25">
      <c r="K83" s="2">
        <v>69</v>
      </c>
      <c r="L83" s="2">
        <f t="shared" si="3"/>
        <v>44.695603936253988</v>
      </c>
      <c r="M83" s="2">
        <f t="shared" si="2"/>
        <v>0.98982679598503509</v>
      </c>
      <c r="N83" s="2" t="str">
        <f t="shared" si="4"/>
        <v/>
      </c>
      <c r="S83" s="2"/>
      <c r="T83" s="2"/>
      <c r="U83" s="2"/>
      <c r="V83" s="2"/>
      <c r="W83" s="2"/>
      <c r="X83" s="2"/>
      <c r="Y83" s="2"/>
      <c r="Z83" s="2"/>
    </row>
    <row r="84" spans="11:26" x14ac:dyDescent="0.25">
      <c r="K84" s="2">
        <v>70</v>
      </c>
      <c r="L84" s="2">
        <f t="shared" si="3"/>
        <v>45.265612717440334</v>
      </c>
      <c r="M84" s="2">
        <f t="shared" ref="M84:M147" si="5">CHIDIST(L84,K84)</f>
        <v>0.99051997193334207</v>
      </c>
      <c r="N84" s="2" t="str">
        <f t="shared" si="4"/>
        <v/>
      </c>
      <c r="S84" s="2"/>
      <c r="T84" s="2"/>
      <c r="U84" s="2"/>
      <c r="V84" s="2"/>
      <c r="W84" s="2"/>
      <c r="X84" s="2"/>
      <c r="Y84" s="2"/>
      <c r="Z84" s="2"/>
    </row>
    <row r="85" spans="11:26" x14ac:dyDescent="0.25">
      <c r="K85" s="2">
        <v>71</v>
      </c>
      <c r="L85" s="2">
        <f t="shared" si="3"/>
        <v>45.835119588027425</v>
      </c>
      <c r="M85" s="2">
        <f t="shared" si="5"/>
        <v>0.99116697245866048</v>
      </c>
      <c r="N85" s="2" t="str">
        <f t="shared" si="4"/>
        <v/>
      </c>
      <c r="S85" s="2"/>
      <c r="T85" s="2"/>
      <c r="U85" s="2"/>
      <c r="V85" s="2"/>
      <c r="W85" s="2"/>
      <c r="X85" s="2"/>
      <c r="Y85" s="2"/>
      <c r="Z85" s="2"/>
    </row>
    <row r="86" spans="11:26" x14ac:dyDescent="0.25">
      <c r="K86" s="2">
        <v>72</v>
      </c>
      <c r="L86" s="2">
        <f t="shared" si="3"/>
        <v>46.404135191553856</v>
      </c>
      <c r="M86" s="2">
        <f t="shared" si="5"/>
        <v>0.99177078571778177</v>
      </c>
      <c r="N86" s="2" t="str">
        <f t="shared" si="4"/>
        <v/>
      </c>
      <c r="S86" s="2"/>
      <c r="T86" s="2"/>
      <c r="U86" s="2"/>
      <c r="V86" s="2"/>
      <c r="W86" s="2"/>
      <c r="X86" s="2"/>
      <c r="Y86" s="2"/>
      <c r="Z86" s="2"/>
    </row>
    <row r="87" spans="11:26" x14ac:dyDescent="0.25">
      <c r="K87" s="2">
        <v>73</v>
      </c>
      <c r="L87" s="2">
        <f t="shared" si="3"/>
        <v>46.972669800596123</v>
      </c>
      <c r="M87" s="2">
        <f t="shared" si="5"/>
        <v>0.99233421386753218</v>
      </c>
      <c r="N87" s="2" t="str">
        <f t="shared" si="4"/>
        <v/>
      </c>
      <c r="S87" s="2"/>
      <c r="T87" s="2"/>
      <c r="U87" s="2"/>
      <c r="V87" s="2"/>
      <c r="W87" s="2"/>
      <c r="X87" s="2"/>
      <c r="Y87" s="2"/>
      <c r="Z87" s="2"/>
    </row>
    <row r="88" spans="11:26" x14ac:dyDescent="0.25">
      <c r="K88" s="2">
        <v>74</v>
      </c>
      <c r="L88" s="2">
        <f t="shared" si="3"/>
        <v>47.540733334621628</v>
      </c>
      <c r="M88" s="2">
        <f t="shared" si="5"/>
        <v>0.99285988401368042</v>
      </c>
      <c r="N88" s="2" t="str">
        <f t="shared" si="4"/>
        <v/>
      </c>
      <c r="S88" s="2"/>
      <c r="T88" s="2"/>
      <c r="U88" s="2"/>
      <c r="V88" s="2"/>
      <c r="W88" s="2"/>
      <c r="X88" s="2"/>
      <c r="Y88" s="2"/>
      <c r="Z88" s="2"/>
    </row>
    <row r="89" spans="11:26" x14ac:dyDescent="0.25">
      <c r="K89" s="2">
        <v>75</v>
      </c>
      <c r="L89" s="2">
        <f t="shared" si="3"/>
        <v>48.108335376751924</v>
      </c>
      <c r="M89" s="2">
        <f t="shared" si="5"/>
        <v>0.99335025857025472</v>
      </c>
      <c r="N89" s="2" t="str">
        <f t="shared" si="4"/>
        <v/>
      </c>
      <c r="S89" s="2"/>
      <c r="T89" s="2"/>
      <c r="U89" s="2"/>
      <c r="V89" s="2"/>
      <c r="W89" s="2"/>
      <c r="X89" s="2"/>
      <c r="Y89" s="2"/>
      <c r="Z89" s="2"/>
    </row>
    <row r="90" spans="11:26" x14ac:dyDescent="0.25">
      <c r="K90" s="2">
        <v>76</v>
      </c>
      <c r="L90" s="2">
        <f t="shared" si="3"/>
        <v>48.675485189516486</v>
      </c>
      <c r="M90" s="2">
        <f t="shared" si="5"/>
        <v>0.99380764505603325</v>
      </c>
      <c r="N90" s="2" t="str">
        <f t="shared" si="4"/>
        <v/>
      </c>
      <c r="S90" s="2"/>
      <c r="T90" s="2"/>
      <c r="U90" s="2"/>
      <c r="V90" s="2"/>
      <c r="W90" s="2"/>
      <c r="X90" s="2"/>
      <c r="Y90" s="2"/>
      <c r="Z90" s="2"/>
    </row>
    <row r="91" spans="11:26" x14ac:dyDescent="0.25">
      <c r="K91" s="2">
        <v>77</v>
      </c>
      <c r="L91" s="2">
        <f t="shared" si="3"/>
        <v>49.242191729670218</v>
      </c>
      <c r="M91" s="2">
        <f t="shared" si="5"/>
        <v>0.99423420535423612</v>
      </c>
      <c r="N91" s="2" t="str">
        <f t="shared" si="4"/>
        <v/>
      </c>
      <c r="S91" s="2"/>
      <c r="T91" s="2"/>
      <c r="U91" s="2"/>
      <c r="V91" s="2"/>
      <c r="W91" s="2"/>
      <c r="X91" s="2"/>
      <c r="Y91" s="2"/>
      <c r="Z91" s="2"/>
    </row>
    <row r="92" spans="11:26" x14ac:dyDescent="0.25">
      <c r="K92" s="2">
        <v>78</v>
      </c>
      <c r="L92" s="2">
        <f t="shared" si="3"/>
        <v>49.808463662141925</v>
      </c>
      <c r="M92" s="2">
        <f t="shared" si="5"/>
        <v>0.99463196446069146</v>
      </c>
      <c r="N92" s="2" t="str">
        <f t="shared" si="4"/>
        <v/>
      </c>
      <c r="S92" s="2"/>
      <c r="T92" s="2"/>
      <c r="U92" s="2"/>
      <c r="V92" s="2"/>
      <c r="W92" s="2"/>
      <c r="X92" s="2"/>
      <c r="Y92" s="2"/>
      <c r="Z92" s="2"/>
    </row>
    <row r="93" spans="11:26" x14ac:dyDescent="0.25">
      <c r="K93" s="2">
        <v>79</v>
      </c>
      <c r="L93" s="2">
        <f t="shared" si="3"/>
        <v>50.374309373175166</v>
      </c>
      <c r="M93" s="2">
        <f t="shared" si="5"/>
        <v>0.99500281874495</v>
      </c>
      <c r="N93" s="2" t="str">
        <f t="shared" si="4"/>
        <v/>
      </c>
      <c r="S93" s="2"/>
      <c r="T93" s="2"/>
      <c r="U93" s="2"/>
      <c r="V93" s="2"/>
      <c r="W93" s="2"/>
      <c r="X93" s="2"/>
      <c r="Y93" s="2"/>
      <c r="Z93" s="2"/>
    </row>
    <row r="94" spans="11:26" x14ac:dyDescent="0.25">
      <c r="K94" s="2">
        <v>80</v>
      </c>
      <c r="L94" s="2">
        <f t="shared" si="3"/>
        <v>50.939736982717939</v>
      </c>
      <c r="M94" s="2">
        <f t="shared" si="5"/>
        <v>0.99534854374801851</v>
      </c>
      <c r="N94" s="2" t="str">
        <f t="shared" si="4"/>
        <v/>
      </c>
      <c r="S94" s="2"/>
      <c r="T94" s="2"/>
      <c r="U94" s="2"/>
      <c r="V94" s="2"/>
      <c r="W94" s="2"/>
      <c r="X94" s="2"/>
      <c r="Y94" s="2"/>
      <c r="Z94" s="2"/>
    </row>
    <row r="95" spans="11:26" x14ac:dyDescent="0.25">
      <c r="K95" s="2">
        <v>81</v>
      </c>
      <c r="L95" s="2">
        <f t="shared" si="3"/>
        <v>51.504754356113089</v>
      </c>
      <c r="M95" s="2">
        <f t="shared" si="5"/>
        <v>0.99567080153955811</v>
      </c>
      <c r="N95" s="2" t="str">
        <f t="shared" si="4"/>
        <v/>
      </c>
      <c r="S95" s="2"/>
      <c r="T95" s="2"/>
      <c r="U95" s="2"/>
      <c r="V95" s="2"/>
      <c r="W95" s="2"/>
      <c r="X95" s="2"/>
      <c r="Y95" s="2"/>
      <c r="Z95" s="2"/>
    </row>
    <row r="96" spans="11:26" x14ac:dyDescent="0.25">
      <c r="K96" s="2">
        <v>82</v>
      </c>
      <c r="L96" s="2">
        <f t="shared" si="3"/>
        <v>52.069369115136936</v>
      </c>
      <c r="M96" s="2">
        <f t="shared" si="5"/>
        <v>0.99597114765656414</v>
      </c>
      <c r="N96" s="2" t="str">
        <f t="shared" si="4"/>
        <v/>
      </c>
      <c r="S96" s="2"/>
      <c r="T96" s="2"/>
      <c r="U96" s="2"/>
      <c r="V96" s="2"/>
      <c r="W96" s="2"/>
      <c r="X96" s="2"/>
      <c r="Y96" s="2"/>
      <c r="Z96" s="2"/>
    </row>
    <row r="97" spans="11:26" x14ac:dyDescent="0.25">
      <c r="K97" s="2">
        <v>83</v>
      </c>
      <c r="L97" s="2">
        <f t="shared" si="3"/>
        <v>52.63358864843017</v>
      </c>
      <c r="M97" s="2">
        <f t="shared" si="5"/>
        <v>0.99625103764471512</v>
      </c>
      <c r="N97" s="2" t="str">
        <f t="shared" si="4"/>
        <v/>
      </c>
      <c r="S97" s="2"/>
      <c r="T97" s="2"/>
      <c r="U97" s="2"/>
      <c r="V97" s="2"/>
      <c r="W97" s="2"/>
      <c r="X97" s="2"/>
      <c r="Y97" s="2"/>
      <c r="Z97" s="2"/>
    </row>
    <row r="98" spans="11:26" x14ac:dyDescent="0.25">
      <c r="K98" s="2">
        <v>84</v>
      </c>
      <c r="L98" s="2">
        <f t="shared" si="3"/>
        <v>53.197420121361255</v>
      </c>
      <c r="M98" s="2">
        <f t="shared" si="5"/>
        <v>0.99651183322275272</v>
      </c>
      <c r="N98" s="2" t="str">
        <f t="shared" si="4"/>
        <v/>
      </c>
      <c r="S98" s="2"/>
      <c r="T98" s="2"/>
      <c r="U98" s="2"/>
      <c r="V98" s="2"/>
      <c r="W98" s="2"/>
      <c r="X98" s="2"/>
      <c r="Y98" s="2"/>
      <c r="Z98" s="2"/>
    </row>
    <row r="99" spans="11:26" x14ac:dyDescent="0.25">
      <c r="K99" s="2">
        <v>85</v>
      </c>
      <c r="L99" s="2">
        <f t="shared" si="3"/>
        <v>53.760870485359732</v>
      </c>
      <c r="M99" s="2">
        <f t="shared" si="5"/>
        <v>0.99675480808942996</v>
      </c>
      <c r="N99" s="2" t="str">
        <f t="shared" si="4"/>
        <v/>
      </c>
      <c r="S99" s="2"/>
      <c r="T99" s="2"/>
      <c r="U99" s="2"/>
      <c r="V99" s="2"/>
      <c r="W99" s="2"/>
      <c r="X99" s="2"/>
      <c r="Y99" s="2"/>
      <c r="Z99" s="2"/>
    </row>
    <row r="100" spans="11:26" x14ac:dyDescent="0.25">
      <c r="K100" s="2">
        <v>86</v>
      </c>
      <c r="L100" s="2">
        <f t="shared" si="3"/>
        <v>54.323946486753805</v>
      </c>
      <c r="M100" s="2">
        <f t="shared" si="5"/>
        <v>0.99698115339176074</v>
      </c>
      <c r="N100" s="2" t="str">
        <f t="shared" si="4"/>
        <v/>
      </c>
      <c r="S100" s="2"/>
      <c r="T100" s="2"/>
      <c r="U100" s="2"/>
      <c r="V100" s="2"/>
      <c r="W100" s="2"/>
      <c r="X100" s="2"/>
      <c r="Y100" s="2"/>
      <c r="Z100" s="2"/>
    </row>
    <row r="101" spans="11:26" x14ac:dyDescent="0.25">
      <c r="K101" s="2">
        <v>87</v>
      </c>
      <c r="L101" s="2">
        <f t="shared" si="3"/>
        <v>54.88665467514398</v>
      </c>
      <c r="M101" s="2">
        <f t="shared" si="5"/>
        <v>0.99719198287250133</v>
      </c>
      <c r="N101" s="2" t="str">
        <f t="shared" si="4"/>
        <v/>
      </c>
      <c r="S101" s="2"/>
      <c r="T101" s="2"/>
      <c r="U101" s="2"/>
      <c r="V101" s="2"/>
      <c r="W101" s="2"/>
      <c r="X101" s="2"/>
      <c r="Y101" s="2"/>
      <c r="Z101" s="2"/>
    </row>
    <row r="102" spans="11:26" x14ac:dyDescent="0.25">
      <c r="K102" s="2">
        <v>88</v>
      </c>
      <c r="L102" s="2">
        <f t="shared" si="3"/>
        <v>55.449001411342238</v>
      </c>
      <c r="M102" s="2">
        <f t="shared" si="5"/>
        <v>0.99738833771401614</v>
      </c>
      <c r="N102" s="2" t="str">
        <f t="shared" si="4"/>
        <v/>
      </c>
      <c r="S102" s="2"/>
      <c r="T102" s="2"/>
      <c r="U102" s="2"/>
      <c r="V102" s="2"/>
      <c r="W102" s="2"/>
      <c r="X102" s="2"/>
      <c r="Y102" s="2"/>
      <c r="Z102" s="2"/>
    </row>
    <row r="103" spans="11:26" x14ac:dyDescent="0.25">
      <c r="K103" s="2">
        <v>89</v>
      </c>
      <c r="L103" s="2">
        <f t="shared" si="3"/>
        <v>56.010992874903934</v>
      </c>
      <c r="M103" s="2">
        <f t="shared" si="5"/>
        <v>0.99757119109491399</v>
      </c>
      <c r="N103" s="2" t="str">
        <f t="shared" si="4"/>
        <v/>
      </c>
      <c r="S103" s="2"/>
      <c r="T103" s="2"/>
      <c r="U103" s="2"/>
      <c r="V103" s="2"/>
      <c r="W103" s="2"/>
      <c r="X103" s="2"/>
      <c r="Y103" s="2"/>
      <c r="Z103" s="2"/>
    </row>
    <row r="104" spans="11:26" x14ac:dyDescent="0.25">
      <c r="K104" s="2">
        <v>90</v>
      </c>
      <c r="L104" s="2">
        <f t="shared" si="3"/>
        <v>56.572635071277709</v>
      </c>
      <c r="M104" s="2">
        <f t="shared" si="5"/>
        <v>0.99774145247509716</v>
      </c>
      <c r="N104" s="2" t="str">
        <f t="shared" si="4"/>
        <v/>
      </c>
      <c r="S104" s="2"/>
      <c r="T104" s="2"/>
      <c r="U104" s="2"/>
      <c r="V104" s="2"/>
      <c r="W104" s="2"/>
      <c r="X104" s="2"/>
      <c r="Y104" s="2"/>
      <c r="Z104" s="2"/>
    </row>
    <row r="105" spans="11:26" x14ac:dyDescent="0.25">
      <c r="K105" s="2">
        <v>91</v>
      </c>
      <c r="L105" s="2">
        <f t="shared" si="3"/>
        <v>57.133933838596775</v>
      </c>
      <c r="M105" s="2">
        <f t="shared" si="5"/>
        <v>0.99789997162413857</v>
      </c>
      <c r="N105" s="2" t="str">
        <f t="shared" si="4"/>
        <v/>
      </c>
      <c r="S105" s="2"/>
      <c r="T105" s="2"/>
      <c r="U105" s="2"/>
      <c r="V105" s="2"/>
      <c r="W105" s="2"/>
      <c r="X105" s="2"/>
      <c r="Y105" s="2"/>
      <c r="Z105" s="2"/>
    </row>
    <row r="106" spans="11:26" x14ac:dyDescent="0.25">
      <c r="K106" s="2">
        <v>92</v>
      </c>
      <c r="L106" s="2">
        <f t="shared" si="3"/>
        <v>57.694894854133423</v>
      </c>
      <c r="M106" s="2">
        <f t="shared" si="5"/>
        <v>0.99804754240719906</v>
      </c>
      <c r="N106" s="2" t="str">
        <f t="shared" si="4"/>
        <v/>
      </c>
      <c r="S106" s="2"/>
      <c r="T106" s="2"/>
      <c r="U106" s="2"/>
      <c r="V106" s="2"/>
      <c r="W106" s="2"/>
      <c r="X106" s="2"/>
      <c r="Y106" s="2"/>
      <c r="Z106" s="2"/>
    </row>
    <row r="107" spans="11:26" x14ac:dyDescent="0.25">
      <c r="K107" s="2">
        <v>93</v>
      </c>
      <c r="L107" s="2">
        <f t="shared" si="3"/>
        <v>58.255523640436778</v>
      </c>
      <c r="M107" s="2">
        <f t="shared" si="5"/>
        <v>0.99818490634201618</v>
      </c>
      <c r="N107" s="2" t="str">
        <f t="shared" si="4"/>
        <v/>
      </c>
      <c r="S107" s="2"/>
      <c r="T107" s="2"/>
      <c r="U107" s="2"/>
      <c r="V107" s="2"/>
      <c r="W107" s="2"/>
      <c r="X107" s="2"/>
      <c r="Y107" s="2"/>
      <c r="Z107" s="2"/>
    </row>
    <row r="108" spans="11:26" x14ac:dyDescent="0.25">
      <c r="K108" s="2">
        <v>94</v>
      </c>
      <c r="L108" s="2">
        <f t="shared" si="3"/>
        <v>58.815825571172773</v>
      </c>
      <c r="M108" s="2">
        <f t="shared" si="5"/>
        <v>0.99831275593983437</v>
      </c>
      <c r="N108" s="2" t="str">
        <f t="shared" si="4"/>
        <v/>
      </c>
      <c r="S108" s="2"/>
      <c r="T108" s="2"/>
      <c r="U108" s="2"/>
      <c r="V108" s="2"/>
      <c r="W108" s="2"/>
      <c r="X108" s="2"/>
      <c r="Y108" s="2"/>
      <c r="Z108" s="2"/>
    </row>
    <row r="109" spans="11:26" x14ac:dyDescent="0.25">
      <c r="K109" s="2">
        <v>95</v>
      </c>
      <c r="L109" s="2">
        <f t="shared" si="3"/>
        <v>59.375805876683685</v>
      </c>
      <c r="M109" s="2">
        <f t="shared" si="5"/>
        <v>0.99843173784251249</v>
      </c>
      <c r="N109" s="2" t="str">
        <f t="shared" si="4"/>
        <v/>
      </c>
      <c r="S109" s="2"/>
      <c r="T109" s="2"/>
      <c r="U109" s="2"/>
      <c r="V109" s="2"/>
      <c r="W109" s="2"/>
      <c r="X109" s="2"/>
      <c r="Y109" s="2"/>
      <c r="Z109" s="2"/>
    </row>
    <row r="110" spans="11:26" x14ac:dyDescent="0.25">
      <c r="K110" s="2">
        <v>96</v>
      </c>
      <c r="L110" s="2">
        <f t="shared" si="3"/>
        <v>59.935469649283569</v>
      </c>
      <c r="M110" s="2">
        <f t="shared" si="5"/>
        <v>0.99854245576742839</v>
      </c>
      <c r="N110" s="2" t="str">
        <f t="shared" si="4"/>
        <v/>
      </c>
      <c r="S110" s="2"/>
      <c r="T110" s="2"/>
      <c r="U110" s="2"/>
      <c r="V110" s="2"/>
      <c r="W110" s="2"/>
      <c r="X110" s="2"/>
      <c r="Y110" s="2"/>
      <c r="Z110" s="2"/>
    </row>
    <row r="111" spans="11:26" x14ac:dyDescent="0.25">
      <c r="K111" s="2">
        <v>97</v>
      </c>
      <c r="L111" s="2">
        <f t="shared" si="3"/>
        <v>60.494821848304788</v>
      </c>
      <c r="M111" s="2">
        <f t="shared" si="5"/>
        <v>0.99864547327121356</v>
      </c>
      <c r="N111" s="2" t="str">
        <f t="shared" si="4"/>
        <v/>
      </c>
      <c r="S111" s="2"/>
      <c r="T111" s="2"/>
      <c r="U111" s="2"/>
      <c r="V111" s="2"/>
      <c r="W111" s="2"/>
      <c r="X111" s="2"/>
      <c r="Y111" s="2"/>
      <c r="Z111" s="2"/>
    </row>
    <row r="112" spans="11:26" x14ac:dyDescent="0.25">
      <c r="K112" s="2">
        <v>98</v>
      </c>
      <c r="L112" s="2">
        <f t="shared" si="3"/>
        <v>61.053867304909716</v>
      </c>
      <c r="M112" s="2">
        <f t="shared" si="5"/>
        <v>0.99874131634278185</v>
      </c>
      <c r="N112" s="2" t="str">
        <f t="shared" si="4"/>
        <v/>
      </c>
      <c r="S112" s="2"/>
      <c r="T112" s="2"/>
      <c r="U112" s="2"/>
      <c r="V112" s="2"/>
      <c r="W112" s="2"/>
      <c r="X112" s="2"/>
      <c r="Y112" s="2"/>
      <c r="Z112" s="2"/>
    </row>
    <row r="113" spans="11:26" x14ac:dyDescent="0.25">
      <c r="K113" s="2">
        <v>99</v>
      </c>
      <c r="L113" s="2">
        <f t="shared" si="3"/>
        <v>61.612610726680899</v>
      </c>
      <c r="M113" s="2">
        <f t="shared" si="5"/>
        <v>0.99883047583557272</v>
      </c>
      <c r="N113" s="2" t="str">
        <f t="shared" si="4"/>
        <v/>
      </c>
      <c r="S113" s="2"/>
      <c r="T113" s="2"/>
      <c r="U113" s="2"/>
      <c r="V113" s="2"/>
      <c r="W113" s="2"/>
      <c r="X113" s="2"/>
      <c r="Y113" s="2"/>
      <c r="Z113" s="2"/>
    </row>
    <row r="114" spans="11:26" x14ac:dyDescent="0.25">
      <c r="K114" s="2">
        <v>100</v>
      </c>
      <c r="L114" s="2">
        <f t="shared" si="3"/>
        <v>62.171056702002041</v>
      </c>
      <c r="M114" s="2">
        <f t="shared" si="5"/>
        <v>0.99891340974840848</v>
      </c>
      <c r="N114" s="2" t="str">
        <f t="shared" si="4"/>
        <v/>
      </c>
      <c r="S114" s="2"/>
      <c r="T114" s="2"/>
      <c r="U114" s="2"/>
      <c r="V114" s="2"/>
      <c r="W114" s="2"/>
      <c r="X114" s="2"/>
      <c r="Y114" s="2"/>
      <c r="Z114" s="2"/>
    </row>
    <row r="115" spans="11:26" x14ac:dyDescent="0.25">
      <c r="K115" s="2">
        <v>101</v>
      </c>
      <c r="L115" s="2">
        <f t="shared" si="3"/>
        <v>62.729209704241192</v>
      </c>
      <c r="M115" s="2">
        <f t="shared" si="5"/>
        <v>0.99899054536386589</v>
      </c>
      <c r="N115" s="2" t="str">
        <f t="shared" si="4"/>
        <v/>
      </c>
      <c r="S115" s="2"/>
      <c r="T115" s="2"/>
      <c r="U115" s="2"/>
      <c r="V115" s="2"/>
      <c r="W115" s="2"/>
      <c r="X115" s="2"/>
      <c r="Y115" s="2"/>
      <c r="Z115" s="2"/>
    </row>
    <row r="116" spans="11:26" x14ac:dyDescent="0.25">
      <c r="K116" s="2">
        <v>102</v>
      </c>
      <c r="L116" s="2">
        <f t="shared" si="3"/>
        <v>63.287074095747165</v>
      </c>
      <c r="M116" s="2">
        <f t="shared" si="5"/>
        <v>0.99906228125258423</v>
      </c>
      <c r="N116" s="2" t="str">
        <f t="shared" si="4"/>
        <v/>
      </c>
      <c r="S116" s="2"/>
      <c r="T116" s="2"/>
      <c r="U116" s="2"/>
      <c r="V116" s="2"/>
      <c r="W116" s="2"/>
      <c r="X116" s="2"/>
      <c r="Y116" s="2"/>
      <c r="Z116" s="2"/>
    </row>
    <row r="117" spans="11:26" x14ac:dyDescent="0.25">
      <c r="K117" s="2">
        <v>103</v>
      </c>
      <c r="L117" s="2">
        <f t="shared" si="3"/>
        <v>63.844654131669124</v>
      </c>
      <c r="M117" s="2">
        <f t="shared" si="5"/>
        <v>0.99912898915147852</v>
      </c>
      <c r="N117" s="2" t="str">
        <f t="shared" si="4"/>
        <v/>
      </c>
      <c r="S117" s="2"/>
      <c r="T117" s="2"/>
      <c r="U117" s="2"/>
      <c r="V117" s="2"/>
      <c r="W117" s="2"/>
      <c r="X117" s="2"/>
      <c r="Y117" s="2"/>
      <c r="Z117" s="2"/>
    </row>
    <row r="118" spans="11:26" x14ac:dyDescent="0.25">
      <c r="K118" s="2">
        <v>104</v>
      </c>
      <c r="L118" s="2">
        <f t="shared" si="3"/>
        <v>64.401953963608833</v>
      </c>
      <c r="M118" s="2">
        <f t="shared" si="5"/>
        <v>0.99919101572338809</v>
      </c>
      <c r="N118" s="2" t="str">
        <f t="shared" si="4"/>
        <v/>
      </c>
      <c r="S118" s="2"/>
      <c r="T118" s="2"/>
      <c r="U118" s="2"/>
      <c r="V118" s="2"/>
      <c r="W118" s="2"/>
      <c r="X118" s="2"/>
      <c r="Y118" s="2"/>
      <c r="Z118" s="2"/>
    </row>
    <row r="119" spans="11:26" x14ac:dyDescent="0.25">
      <c r="K119" s="2">
        <v>105</v>
      </c>
      <c r="L119" s="2">
        <f t="shared" si="3"/>
        <v>64.958977643114466</v>
      </c>
      <c r="M119" s="2">
        <f t="shared" si="5"/>
        <v>0.99924868420527946</v>
      </c>
      <c r="N119" s="2" t="str">
        <f t="shared" si="4"/>
        <v/>
      </c>
      <c r="S119" s="2"/>
      <c r="T119" s="2"/>
      <c r="U119" s="2"/>
      <c r="V119" s="2"/>
      <c r="W119" s="2"/>
      <c r="X119" s="2"/>
      <c r="Y119" s="2"/>
      <c r="Z119" s="2"/>
    </row>
    <row r="120" spans="11:26" x14ac:dyDescent="0.25">
      <c r="K120" s="2">
        <v>106</v>
      </c>
      <c r="L120" s="2">
        <f t="shared" si="3"/>
        <v>65.51572912502435</v>
      </c>
      <c r="M120" s="2">
        <f t="shared" si="5"/>
        <v>0.99930229595172437</v>
      </c>
      <c r="N120" s="2" t="str">
        <f t="shared" si="4"/>
        <v/>
      </c>
      <c r="S120" s="2"/>
      <c r="T120" s="2"/>
      <c r="U120" s="2"/>
      <c r="V120" s="2"/>
      <c r="W120" s="2"/>
      <c r="X120" s="2"/>
      <c r="Y120" s="2"/>
      <c r="Z120" s="2"/>
    </row>
    <row r="121" spans="11:26" x14ac:dyDescent="0.25">
      <c r="K121" s="2">
        <v>107</v>
      </c>
      <c r="L121" s="2">
        <f t="shared" si="3"/>
        <v>66.072212270668317</v>
      </c>
      <c r="M121" s="2">
        <f t="shared" si="5"/>
        <v>0.99935213187999894</v>
      </c>
      <c r="N121" s="2" t="str">
        <f t="shared" si="4"/>
        <v/>
      </c>
      <c r="S121" s="2"/>
      <c r="T121" s="2"/>
      <c r="U121" s="2"/>
      <c r="V121" s="2"/>
      <c r="W121" s="2"/>
      <c r="X121" s="2"/>
      <c r="Y121" s="2"/>
      <c r="Z121" s="2"/>
    </row>
    <row r="122" spans="11:26" x14ac:dyDescent="0.25">
      <c r="K122" s="2">
        <v>108</v>
      </c>
      <c r="L122" s="2">
        <f t="shared" si="3"/>
        <v>66.628430850934095</v>
      </c>
      <c r="M122" s="2">
        <f t="shared" si="5"/>
        <v>0.9993984538227938</v>
      </c>
      <c r="N122" s="2" t="str">
        <f t="shared" si="4"/>
        <v/>
      </c>
      <c r="S122" s="2"/>
      <c r="T122" s="2"/>
      <c r="U122" s="2"/>
      <c r="V122" s="2"/>
      <c r="W122" s="2"/>
      <c r="X122" s="2"/>
      <c r="Y122" s="2"/>
      <c r="Z122" s="2"/>
    </row>
    <row r="123" spans="11:26" x14ac:dyDescent="0.25">
      <c r="K123" s="2">
        <v>109</v>
      </c>
      <c r="L123" s="2">
        <f t="shared" si="3"/>
        <v>67.184388549205607</v>
      </c>
      <c r="M123" s="2">
        <f t="shared" si="5"/>
        <v>0.99944150579418078</v>
      </c>
      <c r="N123" s="2" t="str">
        <f t="shared" si="4"/>
        <v/>
      </c>
      <c r="S123" s="2"/>
      <c r="T123" s="2"/>
      <c r="U123" s="2"/>
      <c r="V123" s="2"/>
      <c r="W123" s="2"/>
      <c r="X123" s="2"/>
      <c r="Y123" s="2"/>
      <c r="Z123" s="2"/>
    </row>
    <row r="124" spans="11:26" x14ac:dyDescent="0.25">
      <c r="K124" s="2">
        <v>110</v>
      </c>
      <c r="L124" s="2">
        <f t="shared" si="3"/>
        <v>67.740088964179762</v>
      </c>
      <c r="M124" s="2">
        <f t="shared" si="5"/>
        <v>0.99948151517416406</v>
      </c>
      <c r="N124" s="2" t="str">
        <f t="shared" si="4"/>
        <v/>
      </c>
      <c r="S124" s="2"/>
      <c r="T124" s="2"/>
      <c r="U124" s="2"/>
      <c r="V124" s="2"/>
      <c r="W124" s="2"/>
      <c r="X124" s="2"/>
      <c r="Y124" s="2"/>
      <c r="Z124" s="2"/>
    </row>
    <row r="125" spans="11:26" x14ac:dyDescent="0.25">
      <c r="K125" s="2">
        <v>111</v>
      </c>
      <c r="L125" s="2">
        <f t="shared" si="3"/>
        <v>68.295535612567505</v>
      </c>
      <c r="M125" s="2">
        <f t="shared" si="5"/>
        <v>0.99951869381683278</v>
      </c>
      <c r="N125" s="2" t="str">
        <f t="shared" si="4"/>
        <v/>
      </c>
      <c r="S125" s="2"/>
      <c r="T125" s="2"/>
      <c r="U125" s="2"/>
      <c r="V125" s="2"/>
      <c r="W125" s="2"/>
      <c r="X125" s="2"/>
      <c r="Y125" s="2"/>
      <c r="Z125" s="2"/>
    </row>
    <row r="126" spans="11:26" x14ac:dyDescent="0.25">
      <c r="K126" s="2">
        <v>112</v>
      </c>
      <c r="L126" s="2">
        <f t="shared" si="3"/>
        <v>68.85073193168536</v>
      </c>
      <c r="M126" s="2">
        <f t="shared" si="5"/>
        <v>0.99955323908684468</v>
      </c>
      <c r="N126" s="2" t="str">
        <f t="shared" si="4"/>
        <v/>
      </c>
      <c r="S126" s="2"/>
      <c r="T126" s="2"/>
      <c r="U126" s="2"/>
      <c r="V126" s="2"/>
      <c r="W126" s="2"/>
      <c r="X126" s="2"/>
      <c r="Y126" s="2"/>
      <c r="Z126" s="2"/>
    </row>
    <row r="127" spans="11:26" x14ac:dyDescent="0.25">
      <c r="K127" s="2">
        <v>113</v>
      </c>
      <c r="L127" s="2">
        <f t="shared" si="3"/>
        <v>69.40568128194235</v>
      </c>
      <c r="M127" s="2">
        <f t="shared" si="5"/>
        <v>0.99958533482869316</v>
      </c>
      <c r="N127" s="2" t="str">
        <f t="shared" si="4"/>
        <v/>
      </c>
      <c r="S127" s="2"/>
      <c r="T127" s="2"/>
      <c r="U127" s="2"/>
      <c r="V127" s="2"/>
      <c r="W127" s="2"/>
      <c r="X127" s="2"/>
      <c r="Y127" s="2"/>
      <c r="Z127" s="2"/>
    </row>
    <row r="128" spans="11:26" x14ac:dyDescent="0.25">
      <c r="K128" s="2">
        <v>114</v>
      </c>
      <c r="L128" s="2">
        <f t="shared" si="3"/>
        <v>69.960386949227868</v>
      </c>
      <c r="M128" s="2">
        <f t="shared" si="5"/>
        <v>0.99961515227294884</v>
      </c>
      <c r="N128" s="2" t="str">
        <f t="shared" si="4"/>
        <v/>
      </c>
      <c r="S128" s="2"/>
      <c r="T128" s="2"/>
      <c r="U128" s="2"/>
      <c r="V128" s="2"/>
      <c r="W128" s="2"/>
      <c r="X128" s="2"/>
      <c r="Y128" s="2"/>
      <c r="Z128" s="2"/>
    </row>
    <row r="129" spans="11:26" x14ac:dyDescent="0.25">
      <c r="K129" s="2">
        <v>115</v>
      </c>
      <c r="L129" s="2">
        <f t="shared" si="3"/>
        <v>70.514852147204863</v>
      </c>
      <c r="M129" s="2">
        <f t="shared" si="5"/>
        <v>0.99964285088342275</v>
      </c>
      <c r="N129" s="2" t="str">
        <f t="shared" si="4"/>
        <v/>
      </c>
      <c r="S129" s="2"/>
      <c r="T129" s="2"/>
      <c r="U129" s="2"/>
      <c r="V129" s="2"/>
      <c r="W129" s="2"/>
      <c r="X129" s="2"/>
      <c r="Y129" s="2"/>
      <c r="Z129" s="2"/>
    </row>
    <row r="130" spans="11:26" x14ac:dyDescent="0.25">
      <c r="K130" s="2">
        <v>116</v>
      </c>
      <c r="L130" s="2">
        <f t="shared" si="3"/>
        <v>71.069080019513237</v>
      </c>
      <c r="M130" s="2">
        <f t="shared" si="5"/>
        <v>0.99966857914895868</v>
      </c>
      <c r="N130" s="2" t="str">
        <f t="shared" si="4"/>
        <v/>
      </c>
      <c r="S130" s="2"/>
      <c r="T130" s="2"/>
      <c r="U130" s="2"/>
      <c r="V130" s="2"/>
      <c r="W130" s="2"/>
      <c r="X130" s="2"/>
      <c r="Y130" s="2"/>
      <c r="Z130" s="2"/>
    </row>
    <row r="131" spans="11:26" x14ac:dyDescent="0.25">
      <c r="K131" s="2">
        <v>117</v>
      </c>
      <c r="L131" s="2">
        <f t="shared" si="3"/>
        <v>71.62307364188743</v>
      </c>
      <c r="M131" s="2">
        <f t="shared" si="5"/>
        <v>0.99969247532334859</v>
      </c>
      <c r="N131" s="2" t="str">
        <f t="shared" si="4"/>
        <v/>
      </c>
      <c r="S131" s="2"/>
      <c r="T131" s="2"/>
      <c r="U131" s="2"/>
      <c r="V131" s="2"/>
      <c r="W131" s="2"/>
      <c r="X131" s="2"/>
      <c r="Y131" s="2"/>
      <c r="Z131" s="2"/>
    </row>
    <row r="132" spans="11:26" x14ac:dyDescent="0.25">
      <c r="K132" s="2">
        <v>118</v>
      </c>
      <c r="L132" s="2">
        <f t="shared" si="3"/>
        <v>72.176836024192539</v>
      </c>
      <c r="M132" s="2">
        <f t="shared" si="5"/>
        <v>0.99971466811664911</v>
      </c>
      <c r="N132" s="2" t="str">
        <f t="shared" si="4"/>
        <v/>
      </c>
      <c r="S132" s="2"/>
      <c r="T132" s="2"/>
      <c r="U132" s="2"/>
      <c r="V132" s="2"/>
      <c r="W132" s="2"/>
      <c r="X132" s="2"/>
      <c r="Y132" s="2"/>
      <c r="Z132" s="2"/>
    </row>
    <row r="133" spans="11:26" x14ac:dyDescent="0.25">
      <c r="K133" s="2">
        <v>119</v>
      </c>
      <c r="L133" s="2">
        <f t="shared" si="3"/>
        <v>72.730370112382431</v>
      </c>
      <c r="M133" s="2">
        <f t="shared" si="5"/>
        <v>0.99973527734098433</v>
      </c>
      <c r="N133" s="2" t="str">
        <f t="shared" si="4"/>
        <v/>
      </c>
      <c r="S133" s="2"/>
      <c r="T133" s="2"/>
      <c r="U133" s="2"/>
      <c r="V133" s="2"/>
      <c r="W133" s="2"/>
      <c r="X133" s="2"/>
      <c r="Y133" s="2"/>
      <c r="Z133" s="2"/>
    </row>
    <row r="134" spans="11:26" x14ac:dyDescent="0.25">
      <c r="K134" s="2">
        <v>120</v>
      </c>
      <c r="L134" s="2">
        <f t="shared" si="3"/>
        <v>73.283678790383718</v>
      </c>
      <c r="M134" s="2">
        <f t="shared" si="5"/>
        <v>0.99975441451373159</v>
      </c>
      <c r="N134" s="2" t="str">
        <f t="shared" si="4"/>
        <v/>
      </c>
      <c r="S134" s="2"/>
      <c r="T134" s="2"/>
      <c r="U134" s="2"/>
      <c r="V134" s="2"/>
      <c r="W134" s="2"/>
      <c r="X134" s="2"/>
      <c r="Y134" s="2"/>
      <c r="Z134" s="2"/>
    </row>
    <row r="135" spans="11:26" x14ac:dyDescent="0.25">
      <c r="K135" s="2">
        <v>121</v>
      </c>
      <c r="L135" s="2">
        <f t="shared" si="3"/>
        <v>73.836764881909033</v>
      </c>
      <c r="M135" s="2">
        <f t="shared" si="5"/>
        <v>0.99977218342081231</v>
      </c>
      <c r="N135" s="2" t="str">
        <f t="shared" si="4"/>
        <v/>
      </c>
      <c r="S135" s="2"/>
      <c r="T135" s="2"/>
      <c r="U135" s="2"/>
      <c r="V135" s="2"/>
      <c r="W135" s="2"/>
      <c r="X135" s="2"/>
      <c r="Y135" s="2"/>
      <c r="Z135" s="2"/>
    </row>
    <row r="136" spans="11:26" x14ac:dyDescent="0.25">
      <c r="K136" s="2">
        <v>122</v>
      </c>
      <c r="L136" s="2">
        <f t="shared" si="3"/>
        <v>74.38963115220244</v>
      </c>
      <c r="M136" s="2">
        <f t="shared" si="5"/>
        <v>0.99978868064264104</v>
      </c>
      <c r="N136" s="2" t="str">
        <f t="shared" si="4"/>
        <v/>
      </c>
      <c r="S136" s="2"/>
      <c r="T136" s="2"/>
      <c r="U136" s="2"/>
      <c r="V136" s="2"/>
      <c r="W136" s="2"/>
      <c r="X136" s="2"/>
      <c r="Y136" s="2"/>
      <c r="Z136" s="2"/>
    </row>
    <row r="137" spans="11:26" x14ac:dyDescent="0.25">
      <c r="K137" s="2">
        <v>123</v>
      </c>
      <c r="L137" s="2">
        <f t="shared" si="3"/>
        <v>74.942280309720687</v>
      </c>
      <c r="M137" s="2">
        <f t="shared" si="5"/>
        <v>0.99980399604513492</v>
      </c>
      <c r="N137" s="2" t="str">
        <f t="shared" si="4"/>
        <v/>
      </c>
      <c r="S137" s="2"/>
      <c r="T137" s="2"/>
      <c r="U137" s="2"/>
      <c r="V137" s="2"/>
      <c r="W137" s="2"/>
      <c r="X137" s="2"/>
      <c r="Y137" s="2"/>
      <c r="Z137" s="2"/>
    </row>
    <row r="138" spans="11:26" x14ac:dyDescent="0.25">
      <c r="K138" s="2">
        <v>124</v>
      </c>
      <c r="L138" s="2">
        <f t="shared" si="3"/>
        <v>75.494715007752419</v>
      </c>
      <c r="M138" s="2">
        <f t="shared" si="5"/>
        <v>0.99981821323803066</v>
      </c>
      <c r="N138" s="2" t="str">
        <f t="shared" si="4"/>
        <v/>
      </c>
      <c r="S138" s="2"/>
      <c r="T138" s="2"/>
      <c r="U138" s="2"/>
      <c r="V138" s="2"/>
      <c r="W138" s="2"/>
      <c r="X138" s="2"/>
      <c r="Y138" s="2"/>
      <c r="Z138" s="2"/>
    </row>
    <row r="139" spans="11:26" x14ac:dyDescent="0.25">
      <c r="K139" s="2">
        <v>125</v>
      </c>
      <c r="L139" s="2">
        <f t="shared" si="3"/>
        <v>76.046937845978917</v>
      </c>
      <c r="M139" s="2">
        <f t="shared" si="5"/>
        <v>0.99983141000262432</v>
      </c>
      <c r="N139" s="2" t="str">
        <f t="shared" si="4"/>
        <v/>
      </c>
      <c r="S139" s="2"/>
      <c r="T139" s="2"/>
      <c r="U139" s="2"/>
      <c r="V139" s="2"/>
      <c r="W139" s="2"/>
      <c r="X139" s="2"/>
      <c r="Y139" s="2"/>
      <c r="Z139" s="2"/>
    </row>
    <row r="140" spans="11:26" x14ac:dyDescent="0.25">
      <c r="K140" s="2">
        <v>126</v>
      </c>
      <c r="L140" s="2">
        <f t="shared" si="3"/>
        <v>76.598951371978103</v>
      </c>
      <c r="M140" s="2">
        <f t="shared" si="5"/>
        <v>0.99984365869091396</v>
      </c>
      <c r="N140" s="2" t="str">
        <f t="shared" si="4"/>
        <v/>
      </c>
      <c r="S140" s="2"/>
      <c r="T140" s="2"/>
      <c r="U140" s="2"/>
      <c r="V140" s="2"/>
      <c r="W140" s="2"/>
      <c r="X140" s="2"/>
      <c r="Y140" s="2"/>
      <c r="Z140" s="2"/>
    </row>
    <row r="141" spans="11:26" x14ac:dyDescent="0.25">
      <c r="K141" s="2">
        <v>127</v>
      </c>
      <c r="L141" s="2">
        <f t="shared" si="3"/>
        <v>77.150758082675111</v>
      </c>
      <c r="M141" s="2">
        <f t="shared" si="5"/>
        <v>0.9998550265980013</v>
      </c>
      <c r="N141" s="2" t="str">
        <f t="shared" si="4"/>
        <v/>
      </c>
      <c r="S141" s="2"/>
      <c r="T141" s="2"/>
      <c r="U141" s="2"/>
      <c r="V141" s="2"/>
      <c r="W141" s="2"/>
      <c r="X141" s="2"/>
      <c r="Y141" s="2"/>
      <c r="Z141" s="2"/>
    </row>
    <row r="142" spans="11:26" x14ac:dyDescent="0.25">
      <c r="K142" s="2">
        <v>128</v>
      </c>
      <c r="L142" s="2">
        <f t="shared" si="3"/>
        <v>77.702360425741034</v>
      </c>
      <c r="M142" s="2">
        <f t="shared" si="5"/>
        <v>0.99986557630949702</v>
      </c>
      <c r="N142" s="2" t="str">
        <f t="shared" si="4"/>
        <v/>
      </c>
      <c r="S142" s="2"/>
      <c r="T142" s="2"/>
      <c r="U142" s="2"/>
      <c r="V142" s="2"/>
      <c r="W142" s="2"/>
      <c r="X142" s="2"/>
      <c r="Y142" s="2"/>
      <c r="Z142" s="2"/>
    </row>
    <row r="143" spans="11:26" x14ac:dyDescent="0.25">
      <c r="K143" s="2">
        <v>129</v>
      </c>
      <c r="L143" s="2">
        <f t="shared" si="3"/>
        <v>78.253760800942572</v>
      </c>
      <c r="M143" s="2">
        <f t="shared" si="5"/>
        <v>0.99987536602555893</v>
      </c>
      <c r="N143" s="2" t="str">
        <f t="shared" si="4"/>
        <v/>
      </c>
      <c r="S143" s="2"/>
      <c r="T143" s="2"/>
      <c r="U143" s="2"/>
      <c r="V143" s="2"/>
      <c r="W143" s="2"/>
      <c r="X143" s="2"/>
      <c r="Y143" s="2"/>
      <c r="Z143" s="2"/>
    </row>
    <row r="144" spans="11:26" x14ac:dyDescent="0.25">
      <c r="K144" s="2">
        <v>130</v>
      </c>
      <c r="L144" s="2">
        <f t="shared" ref="L144:L207" si="6">CHIINV($C$7,K144)/$J$15</f>
        <v>78.804961561444529</v>
      </c>
      <c r="M144" s="2">
        <f t="shared" si="5"/>
        <v>0.9998844498630961</v>
      </c>
      <c r="N144" s="2" t="str">
        <f t="shared" ref="N144:N207" si="7">IF(M144&lt;$C$11,K144,"")</f>
        <v/>
      </c>
      <c r="S144" s="2"/>
      <c r="T144" s="2"/>
      <c r="U144" s="2"/>
      <c r="V144" s="2"/>
      <c r="W144" s="2"/>
      <c r="X144" s="2"/>
      <c r="Y144" s="2"/>
      <c r="Z144" s="2"/>
    </row>
    <row r="145" spans="11:26" x14ac:dyDescent="0.25">
      <c r="K145" s="2">
        <v>131</v>
      </c>
      <c r="L145" s="2">
        <f t="shared" si="6"/>
        <v>79.355965015066872</v>
      </c>
      <c r="M145" s="2">
        <f t="shared" si="5"/>
        <v>0.999892878137568</v>
      </c>
      <c r="N145" s="2" t="str">
        <f t="shared" si="7"/>
        <v/>
      </c>
      <c r="S145" s="2"/>
      <c r="T145" s="2"/>
      <c r="U145" s="2"/>
      <c r="V145" s="2"/>
      <c r="W145" s="2"/>
      <c r="X145" s="2"/>
      <c r="Y145" s="2"/>
      <c r="Z145" s="2"/>
    </row>
    <row r="146" spans="11:26" x14ac:dyDescent="0.25">
      <c r="K146" s="2">
        <v>132</v>
      </c>
      <c r="L146" s="2">
        <f t="shared" si="6"/>
        <v>79.906773425498898</v>
      </c>
      <c r="M146" s="2">
        <f t="shared" si="5"/>
        <v>0.9999006976257252</v>
      </c>
      <c r="N146" s="2" t="str">
        <f t="shared" si="7"/>
        <v/>
      </c>
      <c r="S146" s="2"/>
      <c r="T146" s="2"/>
      <c r="U146" s="2"/>
      <c r="V146" s="2"/>
      <c r="W146" s="2"/>
      <c r="X146" s="2"/>
      <c r="Y146" s="2"/>
      <c r="Z146" s="2"/>
    </row>
    <row r="147" spans="11:26" x14ac:dyDescent="0.25">
      <c r="K147" s="2">
        <v>133</v>
      </c>
      <c r="L147" s="2">
        <f t="shared" si="6"/>
        <v>80.457389013471612</v>
      </c>
      <c r="M147" s="2">
        <f t="shared" si="5"/>
        <v>0.99990795181054426</v>
      </c>
      <c r="N147" s="2" t="str">
        <f t="shared" si="7"/>
        <v/>
      </c>
      <c r="S147" s="2"/>
      <c r="T147" s="2"/>
      <c r="U147" s="2"/>
      <c r="V147" s="2"/>
      <c r="W147" s="2"/>
      <c r="X147" s="2"/>
      <c r="Y147" s="2"/>
      <c r="Z147" s="2"/>
    </row>
    <row r="148" spans="11:26" x14ac:dyDescent="0.25">
      <c r="K148" s="2">
        <v>134</v>
      </c>
      <c r="L148" s="2">
        <f t="shared" si="6"/>
        <v>81.007813957890505</v>
      </c>
      <c r="M148" s="2">
        <f t="shared" ref="M148:M211" si="8">CHIDIST(L148,K148)</f>
        <v>0.99991468110953763</v>
      </c>
      <c r="N148" s="2" t="str">
        <f t="shared" si="7"/>
        <v/>
      </c>
      <c r="S148" s="2"/>
      <c r="T148" s="2"/>
      <c r="U148" s="2"/>
      <c r="V148" s="2"/>
      <c r="W148" s="2"/>
      <c r="X148" s="2"/>
      <c r="Y148" s="2"/>
      <c r="Z148" s="2"/>
    </row>
    <row r="149" spans="11:26" x14ac:dyDescent="0.25">
      <c r="K149" s="2">
        <v>135</v>
      </c>
      <c r="L149" s="2">
        <f t="shared" si="6"/>
        <v>81.558050396930184</v>
      </c>
      <c r="M149" s="2">
        <f t="shared" si="8"/>
        <v>0.99992092308753633</v>
      </c>
      <c r="N149" s="2" t="str">
        <f t="shared" si="7"/>
        <v/>
      </c>
      <c r="S149" s="2"/>
      <c r="T149" s="2"/>
      <c r="U149" s="2"/>
      <c r="V149" s="2"/>
      <c r="W149" s="2"/>
      <c r="X149" s="2"/>
      <c r="Y149" s="2"/>
      <c r="Z149" s="2"/>
    </row>
    <row r="150" spans="11:26" x14ac:dyDescent="0.25">
      <c r="K150" s="2">
        <v>136</v>
      </c>
      <c r="L150" s="2">
        <f t="shared" si="6"/>
        <v>82.108100429092445</v>
      </c>
      <c r="M150" s="2">
        <f t="shared" si="8"/>
        <v>0.99992671265497979</v>
      </c>
      <c r="N150" s="2" t="str">
        <f t="shared" si="7"/>
        <v/>
      </c>
      <c r="S150" s="2"/>
      <c r="T150" s="2"/>
      <c r="U150" s="2"/>
      <c r="V150" s="2"/>
      <c r="W150" s="2"/>
      <c r="X150" s="2"/>
      <c r="Y150" s="2"/>
      <c r="Z150" s="2"/>
    </row>
    <row r="151" spans="11:26" x14ac:dyDescent="0.25">
      <c r="K151" s="2">
        <v>137</v>
      </c>
      <c r="L151" s="2">
        <f t="shared" si="6"/>
        <v>82.657966114229254</v>
      </c>
      <c r="M151" s="2">
        <f t="shared" si="8"/>
        <v>0.9999320822526736</v>
      </c>
      <c r="N151" s="2" t="str">
        <f t="shared" si="7"/>
        <v/>
      </c>
      <c r="S151" s="2"/>
      <c r="T151" s="2"/>
      <c r="U151" s="2"/>
      <c r="V151" s="2"/>
      <c r="W151" s="2"/>
      <c r="X151" s="2"/>
      <c r="Y151" s="2"/>
      <c r="Z151" s="2"/>
    </row>
    <row r="152" spans="11:26" x14ac:dyDescent="0.25">
      <c r="K152" s="2">
        <v>138</v>
      </c>
      <c r="L152" s="2">
        <f t="shared" si="6"/>
        <v>83.207649474532062</v>
      </c>
      <c r="M152" s="2">
        <f t="shared" si="8"/>
        <v>0.99993706202392008</v>
      </c>
      <c r="N152" s="2" t="str">
        <f t="shared" si="7"/>
        <v/>
      </c>
      <c r="S152" s="2"/>
      <c r="T152" s="2"/>
      <c r="U152" s="2"/>
      <c r="V152" s="2"/>
      <c r="W152" s="2"/>
      <c r="X152" s="2"/>
      <c r="Y152" s="2"/>
      <c r="Z152" s="2"/>
    </row>
    <row r="153" spans="11:26" x14ac:dyDescent="0.25">
      <c r="K153" s="2">
        <v>139</v>
      </c>
      <c r="L153" s="2">
        <f t="shared" si="6"/>
        <v>83.757152495488839</v>
      </c>
      <c r="M153" s="2">
        <f t="shared" si="8"/>
        <v>0.99994167997486527</v>
      </c>
      <c r="N153" s="2" t="str">
        <f t="shared" si="7"/>
        <v/>
      </c>
      <c r="S153" s="2"/>
      <c r="T153" s="2"/>
      <c r="U153" s="2"/>
      <c r="V153" s="2"/>
      <c r="W153" s="2"/>
      <c r="X153" s="2"/>
      <c r="Y153" s="2"/>
      <c r="Z153" s="2"/>
    </row>
    <row r="154" spans="11:26" x14ac:dyDescent="0.25">
      <c r="K154" s="2">
        <v>140</v>
      </c>
      <c r="L154" s="2">
        <f t="shared" si="6"/>
        <v>84.30647712680998</v>
      </c>
      <c r="M154" s="2">
        <f t="shared" si="8"/>
        <v>0.99994596212384967</v>
      </c>
      <c r="N154" s="2" t="str">
        <f t="shared" si="7"/>
        <v/>
      </c>
      <c r="S154" s="2"/>
      <c r="T154" s="2"/>
      <c r="U154" s="2"/>
      <c r="V154" s="2"/>
      <c r="W154" s="2"/>
      <c r="X154" s="2"/>
      <c r="Y154" s="2"/>
      <c r="Z154" s="2"/>
    </row>
    <row r="155" spans="11:26" x14ac:dyDescent="0.25">
      <c r="K155" s="2">
        <v>141</v>
      </c>
      <c r="L155" s="2">
        <f t="shared" si="6"/>
        <v>84.8556252833245</v>
      </c>
      <c r="M155" s="2">
        <f t="shared" si="8"/>
        <v>0.9999499326405018</v>
      </c>
      <c r="N155" s="2" t="str">
        <f t="shared" si="7"/>
        <v/>
      </c>
      <c r="S155" s="2"/>
      <c r="T155" s="2"/>
      <c r="U155" s="2"/>
      <c r="V155" s="2"/>
      <c r="W155" s="2"/>
      <c r="X155" s="2"/>
      <c r="Y155" s="2"/>
      <c r="Z155" s="2"/>
    </row>
    <row r="156" spans="11:26" x14ac:dyDescent="0.25">
      <c r="K156" s="2">
        <v>142</v>
      </c>
      <c r="L156" s="2">
        <f t="shared" si="6"/>
        <v>85.40459884584746</v>
      </c>
      <c r="M156" s="2">
        <f t="shared" si="8"/>
        <v>0.99995361397526406</v>
      </c>
      <c r="N156" s="2" t="str">
        <f t="shared" si="7"/>
        <v/>
      </c>
      <c r="S156" s="2"/>
      <c r="T156" s="2"/>
      <c r="U156" s="2"/>
      <c r="V156" s="2"/>
      <c r="W156" s="2"/>
      <c r="X156" s="2"/>
      <c r="Y156" s="2"/>
      <c r="Z156" s="2"/>
    </row>
    <row r="157" spans="11:26" x14ac:dyDescent="0.25">
      <c r="K157" s="2">
        <v>143</v>
      </c>
      <c r="L157" s="2">
        <f t="shared" si="6"/>
        <v>85.953399662019933</v>
      </c>
      <c r="M157" s="2">
        <f t="shared" si="8"/>
        <v>0.99995702697999511</v>
      </c>
      <c r="N157" s="2" t="str">
        <f t="shared" si="7"/>
        <v/>
      </c>
      <c r="S157" s="2"/>
      <c r="T157" s="2"/>
      <c r="U157" s="2"/>
      <c r="V157" s="2"/>
      <c r="W157" s="2"/>
      <c r="X157" s="2"/>
      <c r="Y157" s="2"/>
      <c r="Z157" s="2"/>
    </row>
    <row r="158" spans="11:26" x14ac:dyDescent="0.25">
      <c r="K158" s="2">
        <v>144</v>
      </c>
      <c r="L158" s="2">
        <f t="shared" si="6"/>
        <v>86.502029547122476</v>
      </c>
      <c r="M158" s="2">
        <f t="shared" si="8"/>
        <v>0.99996019102025069</v>
      </c>
      <c r="N158" s="2" t="str">
        <f t="shared" si="7"/>
        <v/>
      </c>
      <c r="S158" s="2"/>
      <c r="T158" s="2"/>
      <c r="U158" s="2"/>
      <c r="V158" s="2"/>
      <c r="W158" s="2"/>
      <c r="X158" s="2"/>
      <c r="Y158" s="2"/>
      <c r="Z158" s="2"/>
    </row>
    <row r="159" spans="11:26" x14ac:dyDescent="0.25">
      <c r="K159" s="2">
        <v>145</v>
      </c>
      <c r="L159" s="2">
        <f t="shared" si="6"/>
        <v>87.050490284863088</v>
      </c>
      <c r="M159" s="2">
        <f t="shared" si="8"/>
        <v>0.99996312407980581</v>
      </c>
      <c r="N159" s="2" t="str">
        <f t="shared" si="7"/>
        <v/>
      </c>
      <c r="S159" s="2"/>
      <c r="T159" s="2"/>
      <c r="U159" s="2"/>
      <c r="V159" s="2"/>
      <c r="W159" s="2"/>
      <c r="X159" s="2"/>
      <c r="Y159" s="2"/>
      <c r="Z159" s="2"/>
    </row>
    <row r="160" spans="11:26" x14ac:dyDescent="0.25">
      <c r="K160" s="2">
        <v>146</v>
      </c>
      <c r="L160" s="2">
        <f t="shared" si="6"/>
        <v>87.598783628140708</v>
      </c>
      <c r="M160" s="2">
        <f t="shared" si="8"/>
        <v>0.99996584285794443</v>
      </c>
      <c r="N160" s="2" t="str">
        <f t="shared" si="7"/>
        <v/>
      </c>
      <c r="S160" s="2"/>
      <c r="T160" s="2"/>
      <c r="U160" s="2"/>
      <c r="V160" s="2"/>
      <c r="W160" s="2"/>
      <c r="X160" s="2"/>
      <c r="Y160" s="2"/>
      <c r="Z160" s="2"/>
    </row>
    <row r="161" spans="11:26" x14ac:dyDescent="0.25">
      <c r="K161" s="2">
        <v>147</v>
      </c>
      <c r="L161" s="2">
        <f t="shared" si="6"/>
        <v>88.146911299785174</v>
      </c>
      <c r="M161" s="2">
        <f t="shared" si="8"/>
        <v>0.99996836286000579</v>
      </c>
      <c r="N161" s="2" t="str">
        <f t="shared" si="7"/>
        <v/>
      </c>
      <c r="S161" s="2"/>
      <c r="T161" s="2"/>
      <c r="U161" s="2"/>
      <c r="V161" s="2"/>
      <c r="W161" s="2"/>
      <c r="X161" s="2"/>
      <c r="Y161" s="2"/>
      <c r="Z161" s="2"/>
    </row>
    <row r="162" spans="11:26" x14ac:dyDescent="0.25">
      <c r="K162" s="2">
        <v>148</v>
      </c>
      <c r="L162" s="2">
        <f t="shared" si="6"/>
        <v>88.694874993274382</v>
      </c>
      <c r="M162" s="2">
        <f t="shared" si="8"/>
        <v>0.99997069848164766</v>
      </c>
      <c r="N162" s="2" t="str">
        <f t="shared" si="7"/>
        <v/>
      </c>
      <c r="S162" s="2"/>
      <c r="T162" s="2"/>
      <c r="U162" s="2"/>
      <c r="V162" s="2"/>
      <c r="W162" s="2"/>
      <c r="X162" s="2"/>
      <c r="Y162" s="2"/>
      <c r="Z162" s="2"/>
    </row>
    <row r="163" spans="11:26" x14ac:dyDescent="0.25">
      <c r="K163" s="2">
        <v>149</v>
      </c>
      <c r="L163" s="2">
        <f t="shared" si="6"/>
        <v>89.242676373429688</v>
      </c>
      <c r="M163" s="2">
        <f t="shared" si="8"/>
        <v>0.99997286308725286</v>
      </c>
      <c r="N163" s="2" t="str">
        <f t="shared" si="7"/>
        <v/>
      </c>
      <c r="S163" s="2"/>
      <c r="T163" s="2"/>
      <c r="U163" s="2"/>
      <c r="V163" s="2"/>
      <c r="W163" s="2"/>
      <c r="X163" s="2"/>
      <c r="Y163" s="2"/>
      <c r="Z163" s="2"/>
    </row>
    <row r="164" spans="11:26" x14ac:dyDescent="0.25">
      <c r="K164" s="2">
        <v>150</v>
      </c>
      <c r="L164" s="2">
        <f t="shared" si="6"/>
        <v>89.790317077090265</v>
      </c>
      <c r="M164" s="2">
        <f t="shared" si="8"/>
        <v>0.99997486908287958</v>
      </c>
      <c r="N164" s="2" t="str">
        <f t="shared" si="7"/>
        <v/>
      </c>
      <c r="S164" s="2"/>
      <c r="T164" s="2"/>
      <c r="U164" s="2"/>
      <c r="V164" s="2"/>
      <c r="W164" s="2"/>
      <c r="X164" s="2"/>
      <c r="Y164" s="2"/>
      <c r="Z164" s="2"/>
    </row>
    <row r="165" spans="11:26" x14ac:dyDescent="0.25">
      <c r="K165" s="2">
        <v>151</v>
      </c>
      <c r="L165" s="2">
        <f t="shared" si="6"/>
        <v>90.337798713767143</v>
      </c>
      <c r="M165" s="2">
        <f t="shared" si="8"/>
        <v>0.99997672798412829</v>
      </c>
      <c r="N165" s="2" t="str">
        <f t="shared" si="7"/>
        <v/>
      </c>
      <c r="S165" s="2"/>
      <c r="T165" s="2"/>
      <c r="U165" s="2"/>
      <c r="V165" s="2"/>
      <c r="W165" s="2"/>
      <c r="X165" s="2"/>
      <c r="Y165" s="2"/>
      <c r="Z165" s="2"/>
    </row>
    <row r="166" spans="11:26" x14ac:dyDescent="0.25">
      <c r="K166" s="2">
        <v>152</v>
      </c>
      <c r="L166" s="2">
        <f t="shared" si="6"/>
        <v>90.88512286627774</v>
      </c>
      <c r="M166" s="2">
        <f t="shared" si="8"/>
        <v>0.99997845047927114</v>
      </c>
      <c r="N166" s="2" t="str">
        <f t="shared" si="7"/>
        <v/>
      </c>
      <c r="S166" s="2"/>
      <c r="T166" s="2"/>
      <c r="U166" s="2"/>
      <c r="V166" s="2"/>
      <c r="W166" s="2"/>
      <c r="X166" s="2"/>
      <c r="Y166" s="2"/>
      <c r="Z166" s="2"/>
    </row>
    <row r="167" spans="11:26" x14ac:dyDescent="0.25">
      <c r="K167" s="2">
        <v>153</v>
      </c>
      <c r="L167" s="2">
        <f t="shared" si="6"/>
        <v>91.432291091361677</v>
      </c>
      <c r="M167" s="2">
        <f t="shared" si="8"/>
        <v>0.99998004648797267</v>
      </c>
      <c r="N167" s="2" t="str">
        <f t="shared" si="7"/>
        <v/>
      </c>
      <c r="S167" s="2"/>
      <c r="T167" s="2"/>
      <c r="U167" s="2"/>
      <c r="V167" s="2"/>
      <c r="W167" s="2"/>
      <c r="X167" s="2"/>
      <c r="Y167" s="2"/>
      <c r="Z167" s="2"/>
    </row>
    <row r="168" spans="11:26" x14ac:dyDescent="0.25">
      <c r="K168" s="2">
        <v>154</v>
      </c>
      <c r="L168" s="2">
        <f t="shared" si="6"/>
        <v>91.979304920278238</v>
      </c>
      <c r="M168" s="2">
        <f t="shared" si="8"/>
        <v>0.99998152521590034</v>
      </c>
      <c r="N168" s="2" t="str">
        <f t="shared" si="7"/>
        <v/>
      </c>
      <c r="S168" s="2"/>
      <c r="T168" s="2"/>
      <c r="U168" s="2"/>
      <c r="V168" s="2"/>
      <c r="W168" s="2"/>
      <c r="X168" s="2"/>
      <c r="Y168" s="2"/>
      <c r="Z168" s="2"/>
    </row>
    <row r="169" spans="11:26" x14ac:dyDescent="0.25">
      <c r="K169" s="2">
        <v>155</v>
      </c>
      <c r="L169" s="2">
        <f t="shared" si="6"/>
        <v>92.526165859386538</v>
      </c>
      <c r="M169" s="2">
        <f t="shared" si="8"/>
        <v>0.99998289520550954</v>
      </c>
      <c r="N169" s="2" t="str">
        <f t="shared" si="7"/>
        <v/>
      </c>
      <c r="S169" s="2"/>
      <c r="T169" s="2"/>
      <c r="U169" s="2"/>
      <c r="V169" s="2"/>
      <c r="W169" s="2"/>
      <c r="X169" s="2"/>
      <c r="Y169" s="2"/>
      <c r="Z169" s="2"/>
    </row>
    <row r="170" spans="11:26" x14ac:dyDescent="0.25">
      <c r="K170" s="2">
        <v>156</v>
      </c>
      <c r="L170" s="2">
        <f t="shared" si="6"/>
        <v>93.072875390708731</v>
      </c>
      <c r="M170" s="2">
        <f t="shared" si="8"/>
        <v>0.9999841643832672</v>
      </c>
      <c r="N170" s="2" t="str">
        <f t="shared" si="7"/>
        <v/>
      </c>
      <c r="S170" s="2"/>
      <c r="T170" s="2"/>
      <c r="U170" s="2"/>
      <c r="V170" s="2"/>
      <c r="W170" s="2"/>
      <c r="X170" s="2"/>
      <c r="Y170" s="2"/>
      <c r="Z170" s="2"/>
    </row>
    <row r="171" spans="11:26" x14ac:dyDescent="0.25">
      <c r="K171" s="2">
        <v>157</v>
      </c>
      <c r="L171" s="2">
        <f t="shared" si="6"/>
        <v>93.619434972476938</v>
      </c>
      <c r="M171" s="2">
        <f t="shared" si="8"/>
        <v>0.99998534010355844</v>
      </c>
      <c r="N171" s="2" t="str">
        <f t="shared" si="7"/>
        <v/>
      </c>
      <c r="S171" s="2"/>
      <c r="T171" s="2"/>
      <c r="U171" s="2"/>
      <c r="V171" s="2"/>
      <c r="W171" s="2"/>
      <c r="X171" s="2"/>
      <c r="Y171" s="2"/>
      <c r="Z171" s="2"/>
    </row>
    <row r="172" spans="11:26" x14ac:dyDescent="0.25">
      <c r="K172" s="2">
        <v>158</v>
      </c>
      <c r="L172" s="2">
        <f t="shared" si="6"/>
        <v>94.16584603966453</v>
      </c>
      <c r="M172" s="2">
        <f t="shared" si="8"/>
        <v>0.99998642918950498</v>
      </c>
      <c r="N172" s="2" t="str">
        <f t="shared" si="7"/>
        <v/>
      </c>
      <c r="S172" s="2"/>
      <c r="T172" s="2"/>
      <c r="U172" s="2"/>
      <c r="V172" s="2"/>
      <c r="W172" s="2"/>
      <c r="X172" s="2"/>
      <c r="Y172" s="2"/>
      <c r="Z172" s="2"/>
    </row>
    <row r="173" spans="11:26" x14ac:dyDescent="0.25">
      <c r="K173" s="2">
        <v>159</v>
      </c>
      <c r="L173" s="2">
        <f t="shared" si="6"/>
        <v>94.712110004502165</v>
      </c>
      <c r="M173" s="2">
        <f t="shared" si="8"/>
        <v>0.99998743797091127</v>
      </c>
      <c r="N173" s="2" t="str">
        <f t="shared" si="7"/>
        <v/>
      </c>
      <c r="S173" s="2"/>
      <c r="T173" s="2"/>
      <c r="U173" s="2"/>
      <c r="V173" s="2"/>
      <c r="W173" s="2"/>
      <c r="X173" s="2"/>
      <c r="Y173" s="2"/>
      <c r="Z173" s="2"/>
    </row>
    <row r="174" spans="11:26" x14ac:dyDescent="0.25">
      <c r="K174" s="2">
        <v>160</v>
      </c>
      <c r="L174" s="2">
        <f t="shared" si="6"/>
        <v>95.258228256979265</v>
      </c>
      <c r="M174" s="2">
        <f t="shared" si="8"/>
        <v>0.99998837231953486</v>
      </c>
      <c r="N174" s="2" t="str">
        <f t="shared" si="7"/>
        <v/>
      </c>
      <c r="S174" s="2"/>
      <c r="T174" s="2"/>
      <c r="U174" s="2"/>
      <c r="V174" s="2"/>
      <c r="W174" s="2"/>
      <c r="X174" s="2"/>
      <c r="Y174" s="2"/>
      <c r="Z174" s="2"/>
    </row>
    <row r="175" spans="11:26" x14ac:dyDescent="0.25">
      <c r="K175" s="2">
        <v>161</v>
      </c>
      <c r="L175" s="2">
        <f t="shared" si="6"/>
        <v>95.804202165331361</v>
      </c>
      <c r="M175" s="2">
        <f t="shared" si="8"/>
        <v>0.99998923768186798</v>
      </c>
      <c r="N175" s="2" t="str">
        <f t="shared" si="7"/>
        <v/>
      </c>
      <c r="S175" s="2"/>
      <c r="T175" s="2"/>
      <c r="U175" s="2"/>
      <c r="V175" s="2"/>
      <c r="W175" s="2"/>
      <c r="X175" s="2"/>
      <c r="Y175" s="2"/>
      <c r="Z175" s="2"/>
    </row>
    <row r="176" spans="11:26" x14ac:dyDescent="0.25">
      <c r="K176" s="2">
        <v>162</v>
      </c>
      <c r="L176" s="2">
        <f t="shared" si="6"/>
        <v>96.350033076513782</v>
      </c>
      <c r="M176" s="2">
        <f t="shared" si="8"/>
        <v>0.99999003910960305</v>
      </c>
      <c r="N176" s="2" t="str">
        <f t="shared" si="7"/>
        <v/>
      </c>
      <c r="S176" s="2"/>
      <c r="T176" s="2"/>
      <c r="U176" s="2"/>
      <c r="V176" s="2"/>
      <c r="W176" s="2"/>
      <c r="X176" s="2"/>
      <c r="Y176" s="2"/>
      <c r="Z176" s="2"/>
    </row>
    <row r="177" spans="11:26" x14ac:dyDescent="0.25">
      <c r="K177" s="2">
        <v>163</v>
      </c>
      <c r="L177" s="2">
        <f t="shared" si="6"/>
        <v>96.895722316662102</v>
      </c>
      <c r="M177" s="2">
        <f t="shared" si="8"/>
        <v>0.99999078128794339</v>
      </c>
      <c r="N177" s="2" t="str">
        <f t="shared" si="7"/>
        <v/>
      </c>
      <c r="S177" s="2"/>
      <c r="T177" s="2"/>
      <c r="U177" s="2"/>
      <c r="V177" s="2"/>
      <c r="W177" s="2"/>
      <c r="X177" s="2"/>
      <c r="Y177" s="2"/>
      <c r="Z177" s="2"/>
    </row>
    <row r="178" spans="11:26" x14ac:dyDescent="0.25">
      <c r="K178" s="2">
        <v>164</v>
      </c>
      <c r="L178" s="2">
        <f t="shared" si="6"/>
        <v>97.441271191540011</v>
      </c>
      <c r="M178" s="2">
        <f t="shared" si="8"/>
        <v>0.99999146856190912</v>
      </c>
      <c r="N178" s="2" t="str">
        <f t="shared" si="7"/>
        <v/>
      </c>
      <c r="S178" s="2"/>
      <c r="T178" s="2"/>
      <c r="U178" s="2"/>
      <c r="V178" s="2"/>
      <c r="W178" s="2"/>
      <c r="X178" s="2"/>
      <c r="Y178" s="2"/>
      <c r="Z178" s="2"/>
    </row>
    <row r="179" spans="11:26" x14ac:dyDescent="0.25">
      <c r="K179" s="2">
        <v>165</v>
      </c>
      <c r="L179" s="2">
        <f t="shared" si="6"/>
        <v>97.986680986974662</v>
      </c>
      <c r="M179" s="2">
        <f t="shared" si="8"/>
        <v>0.99999210496077695</v>
      </c>
      <c r="N179" s="2" t="str">
        <f t="shared" si="7"/>
        <v/>
      </c>
      <c r="S179" s="2"/>
      <c r="T179" s="2"/>
      <c r="U179" s="2"/>
      <c r="V179" s="2"/>
      <c r="W179" s="2"/>
      <c r="X179" s="2"/>
      <c r="Y179" s="2"/>
      <c r="Z179" s="2"/>
    </row>
    <row r="180" spans="11:26" x14ac:dyDescent="0.25">
      <c r="K180" s="2">
        <v>166</v>
      </c>
      <c r="L180" s="2">
        <f t="shared" si="6"/>
        <v>98.53195296928034</v>
      </c>
      <c r="M180" s="2">
        <f t="shared" si="8"/>
        <v>0.99999269422078796</v>
      </c>
      <c r="N180" s="2" t="str">
        <f t="shared" si="7"/>
        <v/>
      </c>
      <c r="S180" s="2"/>
      <c r="T180" s="2"/>
      <c r="U180" s="2"/>
      <c r="V180" s="2"/>
      <c r="W180" s="2"/>
      <c r="X180" s="2"/>
      <c r="Y180" s="2"/>
      <c r="Z180" s="2"/>
    </row>
    <row r="181" spans="11:26" x14ac:dyDescent="0.25">
      <c r="K181" s="2">
        <v>167</v>
      </c>
      <c r="L181" s="2">
        <f t="shared" si="6"/>
        <v>99.077088385670507</v>
      </c>
      <c r="M181" s="2">
        <f t="shared" si="8"/>
        <v>0.999993239806239</v>
      </c>
      <c r="N181" s="2" t="str">
        <f t="shared" si="7"/>
        <v/>
      </c>
      <c r="S181" s="2"/>
      <c r="T181" s="2"/>
      <c r="U181" s="2"/>
      <c r="V181" s="2"/>
      <c r="W181" s="2"/>
      <c r="X181" s="2"/>
      <c r="Y181" s="2"/>
      <c r="Z181" s="2"/>
    </row>
    <row r="182" spans="11:26" x14ac:dyDescent="0.25">
      <c r="K182" s="2">
        <v>168</v>
      </c>
      <c r="L182" s="2">
        <f t="shared" si="6"/>
        <v>99.622088464658702</v>
      </c>
      <c r="M182" s="2">
        <f t="shared" si="8"/>
        <v>0.99999374492907644</v>
      </c>
      <c r="N182" s="2" t="str">
        <f t="shared" si="7"/>
        <v/>
      </c>
      <c r="S182" s="2"/>
      <c r="T182" s="2"/>
      <c r="U182" s="2"/>
      <c r="V182" s="2"/>
      <c r="W182" s="2"/>
      <c r="X182" s="2"/>
      <c r="Y182" s="2"/>
      <c r="Z182" s="2"/>
    </row>
    <row r="183" spans="11:26" x14ac:dyDescent="0.25">
      <c r="K183" s="2">
        <v>169</v>
      </c>
      <c r="L183" s="2">
        <f t="shared" si="6"/>
        <v>100.1669544164488</v>
      </c>
      <c r="M183" s="2">
        <f t="shared" si="8"/>
        <v>0.99999421256709309</v>
      </c>
      <c r="N183" s="2" t="str">
        <f t="shared" si="7"/>
        <v/>
      </c>
      <c r="S183" s="2"/>
      <c r="T183" s="2"/>
      <c r="U183" s="2"/>
      <c r="V183" s="2"/>
      <c r="W183" s="2"/>
      <c r="X183" s="2"/>
      <c r="Y183" s="2"/>
      <c r="Z183" s="2"/>
    </row>
    <row r="184" spans="11:26" x14ac:dyDescent="0.25">
      <c r="K184" s="2">
        <v>170</v>
      </c>
      <c r="L184" s="2">
        <f t="shared" si="6"/>
        <v>100.71168743331476</v>
      </c>
      <c r="M184" s="2">
        <f t="shared" si="8"/>
        <v>0.99999464548082873</v>
      </c>
      <c r="N184" s="2" t="str">
        <f t="shared" si="7"/>
        <v/>
      </c>
      <c r="S184" s="2"/>
      <c r="T184" s="2"/>
      <c r="U184" s="2"/>
      <c r="V184" s="2"/>
      <c r="W184" s="2"/>
      <c r="X184" s="2"/>
      <c r="Y184" s="2"/>
      <c r="Z184" s="2"/>
    </row>
    <row r="185" spans="11:26" x14ac:dyDescent="0.25">
      <c r="K185" s="2">
        <v>171</v>
      </c>
      <c r="L185" s="2">
        <f t="shared" si="6"/>
        <v>101.25628868997033</v>
      </c>
      <c r="M185" s="2">
        <f t="shared" si="8"/>
        <v>0.99999504622926527</v>
      </c>
      <c r="N185" s="2" t="str">
        <f t="shared" si="7"/>
        <v/>
      </c>
      <c r="S185" s="2"/>
      <c r="T185" s="2"/>
      <c r="U185" s="2"/>
      <c r="V185" s="2"/>
      <c r="W185" s="2"/>
      <c r="X185" s="2"/>
      <c r="Y185" s="2"/>
      <c r="Z185" s="2"/>
    </row>
    <row r="186" spans="11:26" x14ac:dyDescent="0.25">
      <c r="K186" s="2">
        <v>172</v>
      </c>
      <c r="L186" s="2">
        <f t="shared" si="6"/>
        <v>101.80075934392904</v>
      </c>
      <c r="M186" s="2">
        <f t="shared" si="8"/>
        <v>0.99999541718439988</v>
      </c>
      <c r="N186" s="2" t="str">
        <f t="shared" si="7"/>
        <v/>
      </c>
      <c r="S186" s="2"/>
      <c r="T186" s="2"/>
      <c r="U186" s="2"/>
      <c r="V186" s="2"/>
      <c r="W186" s="2"/>
      <c r="X186" s="2"/>
      <c r="Y186" s="2"/>
      <c r="Z186" s="2"/>
    </row>
    <row r="187" spans="11:26" x14ac:dyDescent="0.25">
      <c r="K187" s="2">
        <v>173</v>
      </c>
      <c r="L187" s="2">
        <f t="shared" si="6"/>
        <v>102.34510053585475</v>
      </c>
      <c r="M187" s="2">
        <f t="shared" si="8"/>
        <v>0.99999576054477668</v>
      </c>
      <c r="N187" s="2" t="str">
        <f t="shared" si="7"/>
        <v/>
      </c>
      <c r="S187" s="2"/>
      <c r="T187" s="2"/>
      <c r="U187" s="2"/>
      <c r="V187" s="2"/>
      <c r="W187" s="2"/>
      <c r="X187" s="2"/>
      <c r="Y187" s="2"/>
      <c r="Z187" s="2"/>
    </row>
    <row r="188" spans="11:26" x14ac:dyDescent="0.25">
      <c r="K188" s="2">
        <v>174</v>
      </c>
      <c r="L188" s="2">
        <f t="shared" si="6"/>
        <v>102.88931338990307</v>
      </c>
      <c r="M188" s="2">
        <f t="shared" si="8"/>
        <v>0.99999607834804993</v>
      </c>
      <c r="N188" s="2" t="str">
        <f t="shared" si="7"/>
        <v/>
      </c>
      <c r="S188" s="2"/>
      <c r="T188" s="2"/>
      <c r="U188" s="2"/>
      <c r="V188" s="2"/>
      <c r="W188" s="2"/>
      <c r="X188" s="2"/>
      <c r="Y188" s="2"/>
      <c r="Z188" s="2"/>
    </row>
    <row r="189" spans="11:26" x14ac:dyDescent="0.25">
      <c r="K189" s="2">
        <v>175</v>
      </c>
      <c r="L189" s="2">
        <f t="shared" si="6"/>
        <v>103.4333990140538</v>
      </c>
      <c r="M189" s="2">
        <f t="shared" si="8"/>
        <v>0.9999963724826475</v>
      </c>
      <c r="N189" s="2" t="str">
        <f t="shared" si="7"/>
        <v/>
      </c>
      <c r="S189" s="2"/>
      <c r="T189" s="2"/>
      <c r="U189" s="2"/>
      <c r="V189" s="2"/>
      <c r="W189" s="2"/>
      <c r="X189" s="2"/>
      <c r="Y189" s="2"/>
      <c r="Z189" s="2"/>
    </row>
    <row r="190" spans="11:26" x14ac:dyDescent="0.25">
      <c r="K190" s="2">
        <v>176</v>
      </c>
      <c r="L190" s="2">
        <f t="shared" si="6"/>
        <v>103.97735850043516</v>
      </c>
      <c r="M190" s="2">
        <f t="shared" si="8"/>
        <v>0.99999664469859739</v>
      </c>
      <c r="N190" s="2" t="str">
        <f t="shared" si="7"/>
        <v/>
      </c>
      <c r="S190" s="2"/>
      <c r="T190" s="2"/>
      <c r="U190" s="2"/>
      <c r="V190" s="2"/>
      <c r="W190" s="2"/>
      <c r="X190" s="2"/>
      <c r="Y190" s="2"/>
      <c r="Z190" s="2"/>
    </row>
    <row r="191" spans="11:26" x14ac:dyDescent="0.25">
      <c r="K191" s="2">
        <v>177</v>
      </c>
      <c r="L191" s="2">
        <f t="shared" si="6"/>
        <v>104.52119292563926</v>
      </c>
      <c r="M191" s="2">
        <f t="shared" si="8"/>
        <v>0.9999968966175774</v>
      </c>
      <c r="N191" s="2" t="str">
        <f t="shared" si="7"/>
        <v/>
      </c>
      <c r="S191" s="2"/>
      <c r="T191" s="2"/>
      <c r="U191" s="2"/>
      <c r="V191" s="2"/>
      <c r="W191" s="2"/>
      <c r="X191" s="2"/>
      <c r="Y191" s="2"/>
      <c r="Z191" s="2"/>
    </row>
    <row r="192" spans="11:26" x14ac:dyDescent="0.25">
      <c r="K192" s="2">
        <v>178</v>
      </c>
      <c r="L192" s="2">
        <f t="shared" si="6"/>
        <v>105.06490335102991</v>
      </c>
      <c r="M192" s="2">
        <f t="shared" si="8"/>
        <v>0.99999712974224297</v>
      </c>
      <c r="N192" s="2" t="str">
        <f t="shared" si="7"/>
        <v/>
      </c>
      <c r="S192" s="2"/>
      <c r="T192" s="2"/>
      <c r="U192" s="2"/>
      <c r="V192" s="2"/>
      <c r="W192" s="2"/>
      <c r="X192" s="2"/>
      <c r="Y192" s="2"/>
      <c r="Z192" s="2"/>
    </row>
    <row r="193" spans="11:26" x14ac:dyDescent="0.25">
      <c r="K193" s="2">
        <v>179</v>
      </c>
      <c r="L193" s="2">
        <f t="shared" si="6"/>
        <v>105.60849082304244</v>
      </c>
      <c r="M193" s="2">
        <f t="shared" si="8"/>
        <v>0.99999734546488361</v>
      </c>
      <c r="N193" s="2" t="str">
        <f t="shared" si="7"/>
        <v/>
      </c>
      <c r="S193" s="2"/>
      <c r="T193" s="2"/>
      <c r="U193" s="2"/>
      <c r="V193" s="2"/>
      <c r="W193" s="2"/>
      <c r="X193" s="2"/>
      <c r="Y193" s="2"/>
      <c r="Z193" s="2"/>
    </row>
    <row r="194" spans="11:26" x14ac:dyDescent="0.25">
      <c r="K194" s="2">
        <v>180</v>
      </c>
      <c r="L194" s="2">
        <f t="shared" si="6"/>
        <v>106.15195637347607</v>
      </c>
      <c r="M194" s="2">
        <f t="shared" si="8"/>
        <v>0.99999754507545668</v>
      </c>
      <c r="N194" s="2" t="str">
        <f t="shared" si="7"/>
        <v/>
      </c>
      <c r="S194" s="2"/>
      <c r="T194" s="2"/>
      <c r="U194" s="2"/>
      <c r="V194" s="2"/>
      <c r="W194" s="2"/>
      <c r="X194" s="2"/>
      <c r="Y194" s="2"/>
      <c r="Z194" s="2"/>
    </row>
    <row r="195" spans="11:26" x14ac:dyDescent="0.25">
      <c r="K195" s="2">
        <v>181</v>
      </c>
      <c r="L195" s="2">
        <f t="shared" si="6"/>
        <v>106.69530101977881</v>
      </c>
      <c r="M195" s="2">
        <f t="shared" si="8"/>
        <v>0.99999772976904244</v>
      </c>
      <c r="N195" s="2" t="str">
        <f t="shared" si="7"/>
        <v/>
      </c>
      <c r="S195" s="2"/>
      <c r="T195" s="2"/>
      <c r="U195" s="2"/>
      <c r="V195" s="2"/>
      <c r="W195" s="2"/>
      <c r="X195" s="2"/>
      <c r="Y195" s="2"/>
      <c r="Z195" s="2"/>
    </row>
    <row r="196" spans="11:26" x14ac:dyDescent="0.25">
      <c r="K196" s="2">
        <v>182</v>
      </c>
      <c r="L196" s="2">
        <f t="shared" si="6"/>
        <v>107.23852576532552</v>
      </c>
      <c r="M196" s="2">
        <f t="shared" si="8"/>
        <v>0.99999790065276106</v>
      </c>
      <c r="N196" s="2" t="str">
        <f t="shared" si="7"/>
        <v/>
      </c>
      <c r="S196" s="2"/>
      <c r="T196" s="2"/>
      <c r="U196" s="2"/>
      <c r="V196" s="2"/>
      <c r="W196" s="2"/>
      <c r="X196" s="2"/>
      <c r="Y196" s="2"/>
      <c r="Z196" s="2"/>
    </row>
    <row r="197" spans="11:26" x14ac:dyDescent="0.25">
      <c r="K197" s="2">
        <v>183</v>
      </c>
      <c r="L197" s="2">
        <f t="shared" si="6"/>
        <v>107.78163159968882</v>
      </c>
      <c r="M197" s="2">
        <f t="shared" si="8"/>
        <v>0.9999980587521905</v>
      </c>
      <c r="N197" s="2" t="str">
        <f t="shared" si="7"/>
        <v/>
      </c>
      <c r="S197" s="2"/>
      <c r="T197" s="2"/>
      <c r="U197" s="2"/>
      <c r="V197" s="2"/>
      <c r="W197" s="2"/>
      <c r="X197" s="2"/>
      <c r="Y197" s="2"/>
      <c r="Z197" s="2"/>
    </row>
    <row r="198" spans="11:26" x14ac:dyDescent="0.25">
      <c r="K198" s="2">
        <v>184</v>
      </c>
      <c r="L198" s="2">
        <f t="shared" si="6"/>
        <v>108.3246194989035</v>
      </c>
      <c r="M198" s="2">
        <f t="shared" si="8"/>
        <v>0.99999820501732095</v>
      </c>
      <c r="N198" s="2" t="str">
        <f t="shared" si="7"/>
        <v/>
      </c>
      <c r="S198" s="2"/>
      <c r="T198" s="2"/>
      <c r="U198" s="2"/>
      <c r="V198" s="2"/>
      <c r="W198" s="2"/>
      <c r="X198" s="2"/>
      <c r="Y198" s="2"/>
      <c r="Z198" s="2"/>
    </row>
    <row r="199" spans="11:26" x14ac:dyDescent="0.25">
      <c r="K199" s="2">
        <v>185</v>
      </c>
      <c r="L199" s="2">
        <f t="shared" si="6"/>
        <v>108.86749042572437</v>
      </c>
      <c r="M199" s="2">
        <f t="shared" si="8"/>
        <v>0.99999834032807833</v>
      </c>
      <c r="N199" s="2" t="str">
        <f t="shared" si="7"/>
        <v/>
      </c>
      <c r="S199" s="2"/>
      <c r="T199" s="2"/>
      <c r="U199" s="2"/>
      <c r="V199" s="2"/>
      <c r="W199" s="2"/>
      <c r="X199" s="2"/>
      <c r="Y199" s="2"/>
      <c r="Z199" s="2"/>
    </row>
    <row r="200" spans="11:26" x14ac:dyDescent="0.25">
      <c r="K200" s="2">
        <v>186</v>
      </c>
      <c r="L200" s="2">
        <f t="shared" si="6"/>
        <v>109.4102453298779</v>
      </c>
      <c r="M200" s="2">
        <f t="shared" si="8"/>
        <v>0.99999846549944871</v>
      </c>
      <c r="N200" s="2" t="str">
        <f t="shared" si="7"/>
        <v/>
      </c>
      <c r="S200" s="2"/>
      <c r="T200" s="2"/>
      <c r="U200" s="2"/>
      <c r="V200" s="2"/>
      <c r="W200" s="2"/>
      <c r="X200" s="2"/>
      <c r="Y200" s="2"/>
      <c r="Z200" s="2"/>
    </row>
    <row r="201" spans="11:26" x14ac:dyDescent="0.25">
      <c r="K201" s="2">
        <v>187</v>
      </c>
      <c r="L201" s="2">
        <f t="shared" si="6"/>
        <v>109.95288514830766</v>
      </c>
      <c r="M201" s="2">
        <f t="shared" si="8"/>
        <v>0.9999985812862302</v>
      </c>
      <c r="N201" s="2" t="str">
        <f t="shared" si="7"/>
        <v/>
      </c>
      <c r="S201" s="2"/>
      <c r="T201" s="2"/>
      <c r="U201" s="2"/>
      <c r="V201" s="2"/>
      <c r="W201" s="2"/>
      <c r="X201" s="2"/>
      <c r="Y201" s="2"/>
      <c r="Z201" s="2"/>
    </row>
    <row r="202" spans="11:26" x14ac:dyDescent="0.25">
      <c r="K202" s="2">
        <v>188</v>
      </c>
      <c r="L202" s="2">
        <f t="shared" si="6"/>
        <v>110.49541080541398</v>
      </c>
      <c r="M202" s="2">
        <f t="shared" si="8"/>
        <v>0.99999868838744221</v>
      </c>
      <c r="N202" s="2" t="str">
        <f t="shared" si="7"/>
        <v/>
      </c>
      <c r="S202" s="2"/>
      <c r="T202" s="2"/>
      <c r="U202" s="2"/>
      <c r="V202" s="2"/>
      <c r="W202" s="2"/>
      <c r="X202" s="2"/>
      <c r="Y202" s="2"/>
      <c r="Z202" s="2"/>
    </row>
    <row r="203" spans="11:26" x14ac:dyDescent="0.25">
      <c r="K203" s="2">
        <v>189</v>
      </c>
      <c r="L203" s="2">
        <f t="shared" si="6"/>
        <v>111.03782321328774</v>
      </c>
      <c r="M203" s="2">
        <f t="shared" si="8"/>
        <v>0.99999878745041315</v>
      </c>
      <c r="N203" s="2" t="str">
        <f t="shared" si="7"/>
        <v/>
      </c>
      <c r="S203" s="2"/>
      <c r="T203" s="2"/>
      <c r="U203" s="2"/>
      <c r="V203" s="2"/>
      <c r="W203" s="2"/>
      <c r="X203" s="2"/>
      <c r="Y203" s="2"/>
      <c r="Z203" s="2"/>
    </row>
    <row r="204" spans="11:26" x14ac:dyDescent="0.25">
      <c r="K204" s="2">
        <v>190</v>
      </c>
      <c r="L204" s="2">
        <f t="shared" si="6"/>
        <v>111.58012327193865</v>
      </c>
      <c r="M204" s="2">
        <f t="shared" si="8"/>
        <v>0.99999887907457219</v>
      </c>
      <c r="N204" s="2" t="str">
        <f t="shared" si="7"/>
        <v/>
      </c>
      <c r="S204" s="2"/>
      <c r="T204" s="2"/>
      <c r="U204" s="2"/>
      <c r="V204" s="2"/>
      <c r="W204" s="2"/>
      <c r="X204" s="2"/>
      <c r="Y204" s="2"/>
      <c r="Z204" s="2"/>
    </row>
    <row r="205" spans="11:26" x14ac:dyDescent="0.25">
      <c r="K205" s="2">
        <v>191</v>
      </c>
      <c r="L205" s="2">
        <f t="shared" si="6"/>
        <v>112.12231186951811</v>
      </c>
      <c r="M205" s="2">
        <f t="shared" si="8"/>
        <v>0.999998963814965</v>
      </c>
      <c r="N205" s="2" t="str">
        <f t="shared" si="7"/>
        <v/>
      </c>
      <c r="S205" s="2"/>
      <c r="T205" s="2"/>
      <c r="U205" s="2"/>
      <c r="V205" s="2"/>
      <c r="W205" s="2"/>
      <c r="X205" s="2"/>
      <c r="Y205" s="2"/>
      <c r="Z205" s="2"/>
    </row>
    <row r="206" spans="11:26" x14ac:dyDescent="0.25">
      <c r="K206" s="2">
        <v>192</v>
      </c>
      <c r="L206" s="2">
        <f t="shared" si="6"/>
        <v>112.66438988253682</v>
      </c>
      <c r="M206" s="2">
        <f t="shared" si="8"/>
        <v>0.99999904218551428</v>
      </c>
      <c r="N206" s="2" t="str">
        <f t="shared" si="7"/>
        <v/>
      </c>
      <c r="S206" s="2"/>
      <c r="T206" s="2"/>
      <c r="U206" s="2"/>
      <c r="V206" s="2"/>
      <c r="W206" s="2"/>
      <c r="X206" s="2"/>
      <c r="Y206" s="2"/>
      <c r="Z206" s="2"/>
    </row>
    <row r="207" spans="11:26" x14ac:dyDescent="0.25">
      <c r="K207" s="2">
        <v>193</v>
      </c>
      <c r="L207" s="2">
        <f t="shared" si="6"/>
        <v>113.20635817607725</v>
      </c>
      <c r="M207" s="2">
        <f t="shared" si="8"/>
        <v>0.99999911466204239</v>
      </c>
      <c r="N207" s="2" t="str">
        <f t="shared" si="7"/>
        <v/>
      </c>
      <c r="S207" s="2"/>
      <c r="T207" s="2"/>
      <c r="U207" s="2"/>
      <c r="V207" s="2"/>
      <c r="W207" s="2"/>
      <c r="X207" s="2"/>
      <c r="Y207" s="2"/>
      <c r="Z207" s="2"/>
    </row>
    <row r="208" spans="11:26" x14ac:dyDescent="0.25">
      <c r="K208" s="2">
        <v>194</v>
      </c>
      <c r="L208" s="2">
        <f t="shared" ref="L208:L271" si="9">CHIINV($C$7,K208)/$J$15</f>
        <v>113.74821760400113</v>
      </c>
      <c r="M208" s="2">
        <f t="shared" si="8"/>
        <v>0.99999918168507373</v>
      </c>
      <c r="N208" s="2" t="str">
        <f t="shared" ref="N208:N271" si="10">IF(M208&lt;$C$11,K208,"")</f>
        <v/>
      </c>
      <c r="S208" s="2"/>
      <c r="T208" s="2"/>
      <c r="U208" s="2"/>
      <c r="V208" s="2"/>
      <c r="W208" s="2"/>
      <c r="X208" s="2"/>
      <c r="Y208" s="2"/>
      <c r="Z208" s="2"/>
    </row>
    <row r="209" spans="11:26" x14ac:dyDescent="0.25">
      <c r="K209" s="2">
        <v>195</v>
      </c>
      <c r="L209" s="2">
        <f t="shared" si="9"/>
        <v>114.28996900915226</v>
      </c>
      <c r="M209" s="2">
        <f t="shared" si="8"/>
        <v>0.99999924366243365</v>
      </c>
      <c r="N209" s="2" t="str">
        <f t="shared" si="10"/>
        <v/>
      </c>
      <c r="S209" s="2"/>
      <c r="T209" s="2"/>
      <c r="U209" s="2"/>
      <c r="V209" s="2"/>
      <c r="W209" s="2"/>
      <c r="X209" s="2"/>
      <c r="Y209" s="2"/>
      <c r="Z209" s="2"/>
    </row>
    <row r="210" spans="11:26" x14ac:dyDescent="0.25">
      <c r="K210" s="2">
        <v>196</v>
      </c>
      <c r="L210" s="2">
        <f t="shared" si="9"/>
        <v>114.83161322355444</v>
      </c>
      <c r="M210" s="2">
        <f t="shared" si="8"/>
        <v>0.99999930097165624</v>
      </c>
      <c r="N210" s="2" t="str">
        <f t="shared" si="10"/>
        <v/>
      </c>
      <c r="S210" s="2"/>
      <c r="T210" s="2"/>
      <c r="U210" s="2"/>
      <c r="V210" s="2"/>
      <c r="W210" s="2"/>
      <c r="X210" s="2"/>
      <c r="Y210" s="2"/>
      <c r="Z210" s="2"/>
    </row>
    <row r="211" spans="11:26" x14ac:dyDescent="0.25">
      <c r="K211" s="2">
        <v>197</v>
      </c>
      <c r="L211" s="2">
        <f t="shared" si="9"/>
        <v>115.37315106860498</v>
      </c>
      <c r="M211" s="2">
        <f t="shared" si="8"/>
        <v>0.99999935396221806</v>
      </c>
      <c r="N211" s="2" t="str">
        <f t="shared" si="10"/>
        <v/>
      </c>
      <c r="S211" s="2"/>
      <c r="T211" s="2"/>
      <c r="U211" s="2"/>
      <c r="V211" s="2"/>
      <c r="W211" s="2"/>
      <c r="X211" s="2"/>
      <c r="Y211" s="2"/>
      <c r="Z211" s="2"/>
    </row>
    <row r="212" spans="11:26" x14ac:dyDescent="0.25">
      <c r="K212" s="2">
        <v>198</v>
      </c>
      <c r="L212" s="2">
        <f t="shared" si="9"/>
        <v>115.91458335526376</v>
      </c>
      <c r="M212" s="2">
        <f t="shared" ref="M212:M275" si="11">CHIDIST(L212,K212)</f>
        <v>0.99999940295760692</v>
      </c>
      <c r="N212" s="2" t="str">
        <f t="shared" si="10"/>
        <v/>
      </c>
      <c r="S212" s="2"/>
      <c r="T212" s="2"/>
      <c r="U212" s="2"/>
      <c r="V212" s="2"/>
      <c r="W212" s="2"/>
      <c r="X212" s="2"/>
      <c r="Y212" s="2"/>
      <c r="Z212" s="2"/>
    </row>
    <row r="213" spans="11:26" x14ac:dyDescent="0.25">
      <c r="K213" s="2">
        <v>199</v>
      </c>
      <c r="L213" s="2">
        <f t="shared" si="9"/>
        <v>116.45591088423792</v>
      </c>
      <c r="M213" s="2">
        <f t="shared" si="11"/>
        <v>0.99999944825724074</v>
      </c>
      <c r="N213" s="2" t="str">
        <f t="shared" si="10"/>
        <v/>
      </c>
      <c r="S213" s="2"/>
      <c r="T213" s="2"/>
      <c r="U213" s="2"/>
      <c r="V213" s="2"/>
      <c r="W213" s="2"/>
      <c r="X213" s="2"/>
      <c r="Y213" s="2"/>
      <c r="Z213" s="2"/>
    </row>
    <row r="214" spans="11:26" x14ac:dyDescent="0.25">
      <c r="K214" s="2">
        <v>200</v>
      </c>
      <c r="L214" s="2">
        <f t="shared" si="9"/>
        <v>116.99713444616246</v>
      </c>
      <c r="M214" s="2">
        <f t="shared" si="11"/>
        <v>0.99999949013824485</v>
      </c>
      <c r="N214" s="2" t="str">
        <f t="shared" si="10"/>
        <v/>
      </c>
      <c r="S214" s="2"/>
      <c r="T214" s="2"/>
      <c r="U214" s="2"/>
      <c r="V214" s="2"/>
      <c r="W214" s="2"/>
      <c r="X214" s="2"/>
      <c r="Y214" s="2"/>
      <c r="Z214" s="2"/>
    </row>
    <row r="215" spans="11:26" x14ac:dyDescent="0.25">
      <c r="K215" s="2">
        <v>201</v>
      </c>
      <c r="L215" s="2">
        <f t="shared" si="9"/>
        <v>117.53825482177676</v>
      </c>
      <c r="M215" s="2">
        <f t="shared" si="11"/>
        <v>0.99999952885710008</v>
      </c>
      <c r="N215" s="2" t="str">
        <f t="shared" si="10"/>
        <v/>
      </c>
      <c r="S215" s="2"/>
      <c r="T215" s="2"/>
      <c r="U215" s="2"/>
      <c r="V215" s="2"/>
      <c r="W215" s="2"/>
      <c r="X215" s="2"/>
      <c r="Y215" s="2"/>
      <c r="Z215" s="2"/>
    </row>
    <row r="216" spans="11:26" x14ac:dyDescent="0.25">
      <c r="K216" s="2">
        <v>202</v>
      </c>
      <c r="L216" s="2">
        <f t="shared" si="9"/>
        <v>118.07927278209706</v>
      </c>
      <c r="M216" s="2">
        <f t="shared" si="11"/>
        <v>0.99999956465116902</v>
      </c>
      <c r="N216" s="2" t="str">
        <f t="shared" si="10"/>
        <v/>
      </c>
      <c r="S216" s="2"/>
      <c r="T216" s="2"/>
      <c r="U216" s="2"/>
      <c r="V216" s="2"/>
      <c r="W216" s="2"/>
      <c r="X216" s="2"/>
      <c r="Y216" s="2"/>
      <c r="Z216" s="2"/>
    </row>
    <row r="217" spans="11:26" x14ac:dyDescent="0.25">
      <c r="K217" s="2">
        <v>203</v>
      </c>
      <c r="L217" s="2">
        <f t="shared" si="9"/>
        <v>118.62018908858515</v>
      </c>
      <c r="M217" s="2">
        <f t="shared" si="11"/>
        <v>0.99999959774011138</v>
      </c>
      <c r="N217" s="2" t="str">
        <f t="shared" si="10"/>
        <v/>
      </c>
      <c r="S217" s="2"/>
      <c r="T217" s="2"/>
      <c r="U217" s="2"/>
      <c r="V217" s="2"/>
      <c r="W217" s="2"/>
      <c r="X217" s="2"/>
      <c r="Y217" s="2"/>
      <c r="Z217" s="2"/>
    </row>
    <row r="218" spans="11:26" x14ac:dyDescent="0.25">
      <c r="K218" s="2">
        <v>204</v>
      </c>
      <c r="L218" s="2">
        <f t="shared" si="9"/>
        <v>119.16100449331337</v>
      </c>
      <c r="M218" s="2">
        <f t="shared" si="11"/>
        <v>0.99999962832719458</v>
      </c>
      <c r="N218" s="2" t="str">
        <f t="shared" si="10"/>
        <v/>
      </c>
      <c r="S218" s="2"/>
      <c r="T218" s="2"/>
      <c r="U218" s="2"/>
      <c r="V218" s="2"/>
      <c r="W218" s="2"/>
      <c r="X218" s="2"/>
      <c r="Y218" s="2"/>
      <c r="Z218" s="2"/>
    </row>
    <row r="219" spans="11:26" x14ac:dyDescent="0.25">
      <c r="K219" s="2">
        <v>205</v>
      </c>
      <c r="L219" s="2">
        <f t="shared" si="9"/>
        <v>119.70171973912585</v>
      </c>
      <c r="M219" s="2">
        <f t="shared" si="11"/>
        <v>0.99999965660050871</v>
      </c>
      <c r="N219" s="2" t="str">
        <f t="shared" si="10"/>
        <v/>
      </c>
      <c r="S219" s="2"/>
      <c r="T219" s="2"/>
      <c r="U219" s="2"/>
      <c r="V219" s="2"/>
      <c r="W219" s="2"/>
      <c r="X219" s="2"/>
      <c r="Y219" s="2"/>
      <c r="Z219" s="2"/>
    </row>
    <row r="220" spans="11:26" x14ac:dyDescent="0.25">
      <c r="K220" s="2">
        <v>206</v>
      </c>
      <c r="L220" s="2">
        <f t="shared" si="9"/>
        <v>120.24233555979627</v>
      </c>
      <c r="M220" s="2">
        <f t="shared" si="11"/>
        <v>0.99999968273409123</v>
      </c>
      <c r="N220" s="2" t="str">
        <f t="shared" si="10"/>
        <v/>
      </c>
      <c r="S220" s="2"/>
      <c r="T220" s="2"/>
      <c r="U220" s="2"/>
      <c r="V220" s="2"/>
      <c r="W220" s="2"/>
      <c r="X220" s="2"/>
      <c r="Y220" s="2"/>
      <c r="Z220" s="2"/>
    </row>
    <row r="221" spans="11:26" x14ac:dyDescent="0.25">
      <c r="K221" s="2">
        <v>207</v>
      </c>
      <c r="L221" s="2">
        <f t="shared" si="9"/>
        <v>120.78285268018224</v>
      </c>
      <c r="M221" s="2">
        <f t="shared" si="11"/>
        <v>0.99999970688897055</v>
      </c>
      <c r="N221" s="2" t="str">
        <f t="shared" si="10"/>
        <v/>
      </c>
      <c r="S221" s="2"/>
      <c r="T221" s="2"/>
      <c r="U221" s="2"/>
      <c r="V221" s="2"/>
      <c r="W221" s="2"/>
      <c r="X221" s="2"/>
      <c r="Y221" s="2"/>
      <c r="Z221" s="2"/>
    </row>
    <row r="222" spans="11:26" x14ac:dyDescent="0.25">
      <c r="K222" s="2">
        <v>208</v>
      </c>
      <c r="L222" s="2">
        <f t="shared" si="9"/>
        <v>121.32327181637613</v>
      </c>
      <c r="M222" s="2">
        <f t="shared" si="11"/>
        <v>0.99999972921413116</v>
      </c>
      <c r="N222" s="2" t="str">
        <f t="shared" si="10"/>
        <v/>
      </c>
      <c r="S222" s="2"/>
      <c r="T222" s="2"/>
      <c r="U222" s="2"/>
      <c r="V222" s="2"/>
      <c r="W222" s="2"/>
      <c r="X222" s="2"/>
      <c r="Y222" s="2"/>
      <c r="Z222" s="2"/>
    </row>
    <row r="223" spans="11:26" x14ac:dyDescent="0.25">
      <c r="K223" s="2">
        <v>209</v>
      </c>
      <c r="L223" s="2">
        <f t="shared" si="9"/>
        <v>121.86359367585284</v>
      </c>
      <c r="M223" s="2">
        <f t="shared" si="11"/>
        <v>0.99999974984740803</v>
      </c>
      <c r="N223" s="2" t="str">
        <f t="shared" si="10"/>
        <v/>
      </c>
      <c r="S223" s="2"/>
      <c r="T223" s="2"/>
      <c r="U223" s="2"/>
      <c r="V223" s="2"/>
      <c r="W223" s="2"/>
      <c r="X223" s="2"/>
      <c r="Y223" s="2"/>
      <c r="Z223" s="2"/>
    </row>
    <row r="224" spans="11:26" x14ac:dyDescent="0.25">
      <c r="K224" s="2">
        <v>210</v>
      </c>
      <c r="L224" s="2">
        <f t="shared" si="9"/>
        <v>122.40381895761421</v>
      </c>
      <c r="M224" s="2">
        <f t="shared" si="11"/>
        <v>0.99999976891631626</v>
      </c>
      <c r="N224" s="2" t="str">
        <f t="shared" si="10"/>
        <v/>
      </c>
      <c r="S224" s="2"/>
      <c r="T224" s="2"/>
      <c r="U224" s="2"/>
      <c r="V224" s="2"/>
      <c r="W224" s="2"/>
      <c r="X224" s="2"/>
      <c r="Y224" s="2"/>
      <c r="Z224" s="2"/>
    </row>
    <row r="225" spans="11:26" x14ac:dyDescent="0.25">
      <c r="K225" s="2">
        <v>211</v>
      </c>
      <c r="L225" s="2">
        <f t="shared" si="9"/>
        <v>122.94394835233051</v>
      </c>
      <c r="M225" s="2">
        <f t="shared" si="11"/>
        <v>0.99999978653881771</v>
      </c>
      <c r="N225" s="2" t="str">
        <f t="shared" si="10"/>
        <v/>
      </c>
      <c r="S225" s="2"/>
      <c r="T225" s="2"/>
      <c r="U225" s="2"/>
      <c r="V225" s="2"/>
      <c r="W225" s="2"/>
      <c r="X225" s="2"/>
      <c r="Y225" s="2"/>
      <c r="Z225" s="2"/>
    </row>
    <row r="226" spans="11:26" x14ac:dyDescent="0.25">
      <c r="K226" s="2">
        <v>212</v>
      </c>
      <c r="L226" s="2">
        <f t="shared" si="9"/>
        <v>123.4839825424787</v>
      </c>
      <c r="M226" s="2">
        <f t="shared" si="11"/>
        <v>0.99999980282403234</v>
      </c>
      <c r="N226" s="2" t="str">
        <f t="shared" si="10"/>
        <v/>
      </c>
      <c r="S226" s="2"/>
      <c r="T226" s="2"/>
      <c r="U226" s="2"/>
      <c r="V226" s="2"/>
      <c r="W226" s="2"/>
      <c r="X226" s="2"/>
      <c r="Y226" s="2"/>
      <c r="Z226" s="2"/>
    </row>
    <row r="227" spans="11:26" x14ac:dyDescent="0.25">
      <c r="K227" s="2">
        <v>213</v>
      </c>
      <c r="L227" s="2">
        <f t="shared" si="9"/>
        <v>124.02392220247799</v>
      </c>
      <c r="M227" s="2">
        <f t="shared" si="11"/>
        <v>0.99999981787289682</v>
      </c>
      <c r="N227" s="2" t="str">
        <f t="shared" si="10"/>
        <v/>
      </c>
      <c r="S227" s="2"/>
      <c r="T227" s="2"/>
      <c r="U227" s="2"/>
      <c r="V227" s="2"/>
      <c r="W227" s="2"/>
      <c r="X227" s="2"/>
      <c r="Y227" s="2"/>
      <c r="Z227" s="2"/>
    </row>
    <row r="228" spans="11:26" x14ac:dyDescent="0.25">
      <c r="K228" s="2">
        <v>214</v>
      </c>
      <c r="L228" s="2">
        <f t="shared" si="9"/>
        <v>124.56376799882227</v>
      </c>
      <c r="M228" s="2">
        <f t="shared" si="11"/>
        <v>0.99999983177877372</v>
      </c>
      <c r="N228" s="2" t="str">
        <f t="shared" si="10"/>
        <v/>
      </c>
      <c r="S228" s="2"/>
      <c r="T228" s="2"/>
      <c r="U228" s="2"/>
      <c r="V228" s="2"/>
      <c r="W228" s="2"/>
      <c r="X228" s="2"/>
      <c r="Y228" s="2"/>
      <c r="Z228" s="2"/>
    </row>
    <row r="229" spans="11:26" x14ac:dyDescent="0.25">
      <c r="K229" s="2">
        <v>215</v>
      </c>
      <c r="L229" s="2">
        <f t="shared" si="9"/>
        <v>125.10352059021001</v>
      </c>
      <c r="M229" s="2">
        <f t="shared" si="11"/>
        <v>0.9999998446280165</v>
      </c>
      <c r="N229" s="2" t="str">
        <f t="shared" si="10"/>
        <v/>
      </c>
      <c r="S229" s="2"/>
      <c r="T229" s="2"/>
      <c r="U229" s="2"/>
      <c r="V229" s="2"/>
      <c r="W229" s="2"/>
      <c r="X229" s="2"/>
      <c r="Y229" s="2"/>
      <c r="Z229" s="2"/>
    </row>
    <row r="230" spans="11:26" x14ac:dyDescent="0.25">
      <c r="K230" s="2">
        <v>216</v>
      </c>
      <c r="L230" s="2">
        <f t="shared" si="9"/>
        <v>125.64318062767121</v>
      </c>
      <c r="M230" s="2">
        <f t="shared" si="11"/>
        <v>0.99999985650049228</v>
      </c>
      <c r="N230" s="2" t="str">
        <f t="shared" si="10"/>
        <v/>
      </c>
      <c r="S230" s="2"/>
      <c r="T230" s="2"/>
      <c r="U230" s="2"/>
      <c r="V230" s="2"/>
      <c r="W230" s="2"/>
      <c r="X230" s="2"/>
      <c r="Y230" s="2"/>
      <c r="Z230" s="2"/>
    </row>
    <row r="231" spans="11:26" x14ac:dyDescent="0.25">
      <c r="K231" s="2">
        <v>217</v>
      </c>
      <c r="L231" s="2">
        <f t="shared" si="9"/>
        <v>126.18274875469191</v>
      </c>
      <c r="M231" s="2">
        <f t="shared" si="11"/>
        <v>0.99999986747006597</v>
      </c>
      <c r="N231" s="2" t="str">
        <f t="shared" si="10"/>
        <v/>
      </c>
      <c r="S231" s="2"/>
      <c r="T231" s="2"/>
      <c r="U231" s="2"/>
      <c r="V231" s="2"/>
      <c r="W231" s="2"/>
      <c r="X231" s="2"/>
      <c r="Y231" s="2"/>
      <c r="Z231" s="2"/>
    </row>
    <row r="232" spans="11:26" x14ac:dyDescent="0.25">
      <c r="K232" s="2">
        <v>218</v>
      </c>
      <c r="L232" s="2">
        <f t="shared" si="9"/>
        <v>126.7222256073359</v>
      </c>
      <c r="M232" s="2">
        <f t="shared" si="11"/>
        <v>0.99999987760504849</v>
      </c>
      <c r="N232" s="2" t="str">
        <f t="shared" si="10"/>
        <v/>
      </c>
      <c r="S232" s="2"/>
      <c r="T232" s="2"/>
      <c r="U232" s="2"/>
      <c r="V232" s="2"/>
      <c r="W232" s="2"/>
      <c r="X232" s="2"/>
      <c r="Y232" s="2"/>
      <c r="Z232" s="2"/>
    </row>
    <row r="233" spans="11:26" x14ac:dyDescent="0.25">
      <c r="K233" s="2">
        <v>219</v>
      </c>
      <c r="L233" s="2">
        <f t="shared" si="9"/>
        <v>127.26161181436414</v>
      </c>
      <c r="M233" s="2">
        <f t="shared" si="11"/>
        <v>0.99999988696861153</v>
      </c>
      <c r="N233" s="2" t="str">
        <f t="shared" si="10"/>
        <v/>
      </c>
      <c r="S233" s="2"/>
      <c r="T233" s="2"/>
      <c r="U233" s="2"/>
      <c r="V233" s="2"/>
      <c r="W233" s="2"/>
      <c r="X233" s="2"/>
      <c r="Y233" s="2"/>
      <c r="Z233" s="2"/>
    </row>
    <row r="234" spans="11:26" x14ac:dyDescent="0.25">
      <c r="K234" s="2">
        <v>220</v>
      </c>
      <c r="L234" s="2">
        <f t="shared" si="9"/>
        <v>127.80090799735152</v>
      </c>
      <c r="M234" s="2">
        <f t="shared" si="11"/>
        <v>0.99999989561917235</v>
      </c>
      <c r="N234" s="2" t="str">
        <f t="shared" si="10"/>
        <v/>
      </c>
      <c r="S234" s="2"/>
      <c r="T234" s="2"/>
      <c r="U234" s="2"/>
      <c r="V234" s="2"/>
      <c r="W234" s="2"/>
      <c r="X234" s="2"/>
      <c r="Y234" s="2"/>
      <c r="Z234" s="2"/>
    </row>
    <row r="235" spans="11:26" x14ac:dyDescent="0.25">
      <c r="K235" s="2">
        <v>221</v>
      </c>
      <c r="L235" s="2">
        <f t="shared" si="9"/>
        <v>128.34011477080136</v>
      </c>
      <c r="M235" s="2">
        <f t="shared" si="11"/>
        <v>0.99999990361074875</v>
      </c>
      <c r="N235" s="2" t="str">
        <f t="shared" si="10"/>
        <v/>
      </c>
      <c r="S235" s="2"/>
      <c r="T235" s="2"/>
      <c r="U235" s="2"/>
      <c r="V235" s="2"/>
      <c r="W235" s="2"/>
      <c r="X235" s="2"/>
      <c r="Y235" s="2"/>
      <c r="Z235" s="2"/>
    </row>
    <row r="236" spans="11:26" x14ac:dyDescent="0.25">
      <c r="K236" s="2">
        <v>222</v>
      </c>
      <c r="L236" s="2">
        <f t="shared" si="9"/>
        <v>128.87923274225756</v>
      </c>
      <c r="M236" s="2">
        <f t="shared" si="11"/>
        <v>0.999999910993289</v>
      </c>
      <c r="N236" s="2" t="str">
        <f t="shared" si="10"/>
        <v/>
      </c>
      <c r="S236" s="2"/>
      <c r="T236" s="2"/>
      <c r="U236" s="2"/>
      <c r="V236" s="2"/>
      <c r="W236" s="2"/>
      <c r="X236" s="2"/>
      <c r="Y236" s="2"/>
      <c r="Z236" s="2"/>
    </row>
    <row r="237" spans="11:26" x14ac:dyDescent="0.25">
      <c r="K237" s="2">
        <v>223</v>
      </c>
      <c r="L237" s="2">
        <f t="shared" si="9"/>
        <v>129.4182625124144</v>
      </c>
      <c r="M237" s="2">
        <f t="shared" si="11"/>
        <v>0.99999991781297592</v>
      </c>
      <c r="N237" s="2" t="str">
        <f t="shared" si="10"/>
        <v/>
      </c>
      <c r="S237" s="2"/>
      <c r="T237" s="2"/>
      <c r="U237" s="2"/>
      <c r="V237" s="2"/>
      <c r="W237" s="2"/>
      <c r="X237" s="2"/>
      <c r="Y237" s="2"/>
      <c r="Z237" s="2"/>
    </row>
    <row r="238" spans="11:26" x14ac:dyDescent="0.25">
      <c r="K238" s="2">
        <v>224</v>
      </c>
      <c r="L238" s="2">
        <f t="shared" si="9"/>
        <v>129.95720467522412</v>
      </c>
      <c r="M238" s="2">
        <f t="shared" si="11"/>
        <v>0.99999992411250949</v>
      </c>
      <c r="N238" s="2" t="str">
        <f t="shared" si="10"/>
        <v/>
      </c>
      <c r="S238" s="2"/>
      <c r="T238" s="2"/>
      <c r="U238" s="2"/>
      <c r="V238" s="2"/>
      <c r="W238" s="2"/>
      <c r="X238" s="2"/>
      <c r="Y238" s="2"/>
      <c r="Z238" s="2"/>
    </row>
    <row r="239" spans="11:26" x14ac:dyDescent="0.25">
      <c r="K239" s="2">
        <v>225</v>
      </c>
      <c r="L239" s="2">
        <f t="shared" si="9"/>
        <v>130.49605981800261</v>
      </c>
      <c r="M239" s="2">
        <f t="shared" si="11"/>
        <v>0.99999992993136799</v>
      </c>
      <c r="N239" s="2" t="str">
        <f t="shared" si="10"/>
        <v/>
      </c>
      <c r="S239" s="2"/>
      <c r="T239" s="2"/>
      <c r="U239" s="2"/>
      <c r="V239" s="2"/>
      <c r="W239" s="2"/>
      <c r="X239" s="2"/>
      <c r="Y239" s="2"/>
      <c r="Z239" s="2"/>
    </row>
    <row r="240" spans="11:26" x14ac:dyDescent="0.25">
      <c r="K240" s="2">
        <v>226</v>
      </c>
      <c r="L240" s="2">
        <f t="shared" si="9"/>
        <v>131.03482852153243</v>
      </c>
      <c r="M240" s="2">
        <f t="shared" si="11"/>
        <v>0.99999993530604925</v>
      </c>
      <c r="N240" s="2" t="str">
        <f t="shared" si="10"/>
        <v/>
      </c>
      <c r="S240" s="2"/>
      <c r="T240" s="2"/>
      <c r="U240" s="2"/>
      <c r="V240" s="2"/>
      <c r="W240" s="2"/>
      <c r="X240" s="2"/>
      <c r="Y240" s="2"/>
      <c r="Z240" s="2"/>
    </row>
    <row r="241" spans="11:26" x14ac:dyDescent="0.25">
      <c r="K241" s="2">
        <v>227</v>
      </c>
      <c r="L241" s="2">
        <f t="shared" si="9"/>
        <v>131.57351136016445</v>
      </c>
      <c r="M241" s="2">
        <f t="shared" si="11"/>
        <v>0.9999999402702946</v>
      </c>
      <c r="N241" s="2" t="str">
        <f t="shared" si="10"/>
        <v/>
      </c>
      <c r="S241" s="2"/>
      <c r="T241" s="2"/>
      <c r="U241" s="2"/>
      <c r="V241" s="2"/>
      <c r="W241" s="2"/>
      <c r="X241" s="2"/>
      <c r="Y241" s="2"/>
      <c r="Z241" s="2"/>
    </row>
    <row r="242" spans="11:26" x14ac:dyDescent="0.25">
      <c r="K242" s="2">
        <v>228</v>
      </c>
      <c r="L242" s="2">
        <f t="shared" si="9"/>
        <v>132.1121089019168</v>
      </c>
      <c r="M242" s="2">
        <f t="shared" si="11"/>
        <v>0.99999994485529586</v>
      </c>
      <c r="N242" s="2" t="str">
        <f t="shared" si="10"/>
        <v/>
      </c>
      <c r="S242" s="2"/>
      <c r="T242" s="2"/>
      <c r="U242" s="2"/>
      <c r="V242" s="2"/>
      <c r="W242" s="2"/>
      <c r="X242" s="2"/>
      <c r="Y242" s="2"/>
      <c r="Z242" s="2"/>
    </row>
    <row r="243" spans="11:26" x14ac:dyDescent="0.25">
      <c r="K243" s="2">
        <v>229</v>
      </c>
      <c r="L243" s="2">
        <f t="shared" si="9"/>
        <v>132.65062170857246</v>
      </c>
      <c r="M243" s="2">
        <f t="shared" si="11"/>
        <v>0.99999994908988676</v>
      </c>
      <c r="N243" s="2" t="str">
        <f t="shared" si="10"/>
        <v/>
      </c>
      <c r="S243" s="2"/>
      <c r="T243" s="2"/>
      <c r="U243" s="2"/>
      <c r="V243" s="2"/>
      <c r="W243" s="2"/>
      <c r="X243" s="2"/>
      <c r="Y243" s="2"/>
      <c r="Z243" s="2"/>
    </row>
    <row r="244" spans="11:26" x14ac:dyDescent="0.25">
      <c r="K244" s="2">
        <v>230</v>
      </c>
      <c r="L244" s="2">
        <f t="shared" si="9"/>
        <v>133.18905033577454</v>
      </c>
      <c r="M244" s="2">
        <f t="shared" si="11"/>
        <v>0.9999999530007202</v>
      </c>
      <c r="N244" s="2" t="str">
        <f t="shared" si="10"/>
        <v/>
      </c>
      <c r="S244" s="2"/>
      <c r="T244" s="2"/>
      <c r="U244" s="2"/>
      <c r="V244" s="2"/>
      <c r="W244" s="2"/>
      <c r="X244" s="2"/>
      <c r="Y244" s="2"/>
      <c r="Z244" s="2"/>
    </row>
    <row r="245" spans="11:26" x14ac:dyDescent="0.25">
      <c r="K245" s="2">
        <v>231</v>
      </c>
      <c r="L245" s="2">
        <f t="shared" si="9"/>
        <v>133.72739533311983</v>
      </c>
      <c r="M245" s="2">
        <f t="shared" si="11"/>
        <v>0.99999995661243224</v>
      </c>
      <c r="N245" s="2" t="str">
        <f t="shared" si="10"/>
        <v/>
      </c>
      <c r="S245" s="2"/>
      <c r="T245" s="2"/>
      <c r="U245" s="2"/>
      <c r="V245" s="2"/>
      <c r="W245" s="2"/>
      <c r="X245" s="2"/>
      <c r="Y245" s="2"/>
      <c r="Z245" s="2"/>
    </row>
    <row r="246" spans="11:26" x14ac:dyDescent="0.25">
      <c r="K246" s="2">
        <v>232</v>
      </c>
      <c r="L246" s="2">
        <f t="shared" si="9"/>
        <v>134.26565724425055</v>
      </c>
      <c r="M246" s="2">
        <f t="shared" si="11"/>
        <v>0.99999995994779411</v>
      </c>
      <c r="N246" s="2" t="str">
        <f t="shared" si="10"/>
        <v/>
      </c>
      <c r="S246" s="2"/>
      <c r="T246" s="2"/>
      <c r="U246" s="2"/>
      <c r="V246" s="2"/>
      <c r="W246" s="2"/>
      <c r="X246" s="2"/>
      <c r="Y246" s="2"/>
      <c r="Z246" s="2"/>
    </row>
    <row r="247" spans="11:26" x14ac:dyDescent="0.25">
      <c r="K247" s="2">
        <v>233</v>
      </c>
      <c r="L247" s="2">
        <f t="shared" si="9"/>
        <v>134.80383660694417</v>
      </c>
      <c r="M247" s="2">
        <f t="shared" si="11"/>
        <v>0.99999996302785221</v>
      </c>
      <c r="N247" s="2" t="str">
        <f t="shared" si="10"/>
        <v/>
      </c>
      <c r="S247" s="2"/>
      <c r="T247" s="2"/>
      <c r="U247" s="2"/>
      <c r="V247" s="2"/>
      <c r="W247" s="2"/>
      <c r="X247" s="2"/>
      <c r="Y247" s="2"/>
      <c r="Z247" s="2"/>
    </row>
    <row r="248" spans="11:26" x14ac:dyDescent="0.25">
      <c r="K248" s="2">
        <v>234</v>
      </c>
      <c r="L248" s="2">
        <f t="shared" si="9"/>
        <v>135.34193395320182</v>
      </c>
      <c r="M248" s="2">
        <f t="shared" si="11"/>
        <v>0.99999996587205819</v>
      </c>
      <c r="N248" s="2" t="str">
        <f t="shared" si="10"/>
        <v/>
      </c>
      <c r="S248" s="2"/>
      <c r="T248" s="2"/>
      <c r="U248" s="2"/>
      <c r="V248" s="2"/>
      <c r="W248" s="2"/>
      <c r="X248" s="2"/>
      <c r="Y248" s="2"/>
      <c r="Z248" s="2"/>
    </row>
    <row r="249" spans="11:26" x14ac:dyDescent="0.25">
      <c r="K249" s="2">
        <v>235</v>
      </c>
      <c r="L249" s="2">
        <f t="shared" si="9"/>
        <v>135.87994980933451</v>
      </c>
      <c r="M249" s="2">
        <f t="shared" si="11"/>
        <v>0.99999996849838935</v>
      </c>
      <c r="N249" s="2" t="str">
        <f t="shared" si="10"/>
        <v/>
      </c>
      <c r="S249" s="2"/>
      <c r="T249" s="2"/>
      <c r="U249" s="2"/>
      <c r="V249" s="2"/>
      <c r="W249" s="2"/>
      <c r="X249" s="2"/>
      <c r="Y249" s="2"/>
      <c r="Z249" s="2"/>
    </row>
    <row r="250" spans="11:26" x14ac:dyDescent="0.25">
      <c r="K250" s="2">
        <v>236</v>
      </c>
      <c r="L250" s="2">
        <f t="shared" si="9"/>
        <v>136.41788469604822</v>
      </c>
      <c r="M250" s="2">
        <f t="shared" si="11"/>
        <v>0.99999997092345894</v>
      </c>
      <c r="N250" s="2" t="str">
        <f t="shared" si="10"/>
        <v/>
      </c>
      <c r="S250" s="2"/>
      <c r="T250" s="2"/>
      <c r="U250" s="2"/>
      <c r="V250" s="2"/>
      <c r="W250" s="2"/>
      <c r="X250" s="2"/>
      <c r="Y250" s="2"/>
      <c r="Z250" s="2"/>
    </row>
    <row r="251" spans="11:26" x14ac:dyDescent="0.25">
      <c r="K251" s="2">
        <v>237</v>
      </c>
      <c r="L251" s="2">
        <f t="shared" si="9"/>
        <v>136.95573912852697</v>
      </c>
      <c r="M251" s="2">
        <f t="shared" si="11"/>
        <v>0.99999997316262046</v>
      </c>
      <c r="N251" s="2" t="str">
        <f t="shared" si="10"/>
        <v/>
      </c>
      <c r="S251" s="2"/>
      <c r="T251" s="2"/>
      <c r="U251" s="2"/>
      <c r="V251" s="2"/>
      <c r="W251" s="2"/>
      <c r="X251" s="2"/>
      <c r="Y251" s="2"/>
      <c r="Z251" s="2"/>
    </row>
    <row r="252" spans="11:26" x14ac:dyDescent="0.25">
      <c r="K252" s="2">
        <v>238</v>
      </c>
      <c r="L252" s="2">
        <f t="shared" si="9"/>
        <v>137.49351361651452</v>
      </c>
      <c r="M252" s="2">
        <f t="shared" si="11"/>
        <v>0.99999997523006146</v>
      </c>
      <c r="N252" s="2" t="str">
        <f t="shared" si="10"/>
        <v/>
      </c>
      <c r="S252" s="2"/>
      <c r="T252" s="2"/>
      <c r="U252" s="2"/>
      <c r="V252" s="2"/>
      <c r="W252" s="2"/>
      <c r="X252" s="2"/>
      <c r="Y252" s="2"/>
      <c r="Z252" s="2"/>
    </row>
    <row r="253" spans="11:26" x14ac:dyDescent="0.25">
      <c r="K253" s="2">
        <v>239</v>
      </c>
      <c r="L253" s="2">
        <f t="shared" si="9"/>
        <v>138.03120866439437</v>
      </c>
      <c r="M253" s="2">
        <f t="shared" si="11"/>
        <v>0.9999999771388921</v>
      </c>
      <c r="N253" s="2" t="str">
        <f t="shared" si="10"/>
        <v/>
      </c>
      <c r="S253" s="2"/>
      <c r="T253" s="2"/>
      <c r="U253" s="2"/>
      <c r="V253" s="2"/>
      <c r="W253" s="2"/>
      <c r="X253" s="2"/>
      <c r="Y253" s="2"/>
      <c r="Z253" s="2"/>
    </row>
    <row r="254" spans="11:26" x14ac:dyDescent="0.25">
      <c r="K254" s="2">
        <v>240</v>
      </c>
      <c r="L254" s="2">
        <f t="shared" si="9"/>
        <v>138.56882477126845</v>
      </c>
      <c r="M254" s="2">
        <f t="shared" si="11"/>
        <v>0.9999999789012266</v>
      </c>
      <c r="N254" s="2" t="str">
        <f t="shared" si="10"/>
        <v/>
      </c>
      <c r="S254" s="2"/>
      <c r="T254" s="2"/>
      <c r="U254" s="2"/>
      <c r="V254" s="2"/>
      <c r="W254" s="2"/>
      <c r="X254" s="2"/>
      <c r="Y254" s="2"/>
      <c r="Z254" s="2"/>
    </row>
    <row r="255" spans="11:26" x14ac:dyDescent="0.25">
      <c r="K255" s="2">
        <v>241</v>
      </c>
      <c r="L255" s="2">
        <f t="shared" si="9"/>
        <v>139.10636243103426</v>
      </c>
      <c r="M255" s="2">
        <f t="shared" si="11"/>
        <v>0.99999998052825834</v>
      </c>
      <c r="N255" s="2" t="str">
        <f t="shared" si="10"/>
        <v/>
      </c>
      <c r="S255" s="2"/>
      <c r="T255" s="2"/>
      <c r="U255" s="2"/>
      <c r="V255" s="2"/>
      <c r="W255" s="2"/>
      <c r="X255" s="2"/>
      <c r="Y255" s="2"/>
      <c r="Z255" s="2"/>
    </row>
    <row r="256" spans="11:26" x14ac:dyDescent="0.25">
      <c r="K256" s="2">
        <v>242</v>
      </c>
      <c r="L256" s="2">
        <f t="shared" si="9"/>
        <v>139.64382213246029</v>
      </c>
      <c r="M256" s="2">
        <f t="shared" si="11"/>
        <v>0.99999998203032958</v>
      </c>
      <c r="N256" s="2" t="str">
        <f t="shared" si="10"/>
        <v/>
      </c>
      <c r="S256" s="2"/>
      <c r="T256" s="2"/>
      <c r="U256" s="2"/>
      <c r="V256" s="2"/>
      <c r="W256" s="2"/>
      <c r="X256" s="2"/>
      <c r="Y256" s="2"/>
      <c r="Z256" s="2"/>
    </row>
    <row r="257" spans="11:26" x14ac:dyDescent="0.25">
      <c r="K257" s="2">
        <v>243</v>
      </c>
      <c r="L257" s="2">
        <f t="shared" si="9"/>
        <v>140.18120435926062</v>
      </c>
      <c r="M257" s="2">
        <f t="shared" si="11"/>
        <v>0.9999999834169957</v>
      </c>
      <c r="N257" s="2" t="str">
        <f t="shared" si="10"/>
        <v/>
      </c>
      <c r="S257" s="2"/>
      <c r="T257" s="2"/>
      <c r="U257" s="2"/>
      <c r="V257" s="2"/>
      <c r="W257" s="2"/>
      <c r="X257" s="2"/>
      <c r="Y257" s="2"/>
      <c r="Z257" s="2"/>
    </row>
    <row r="258" spans="11:26" x14ac:dyDescent="0.25">
      <c r="K258" s="2">
        <v>244</v>
      </c>
      <c r="L258" s="2">
        <f t="shared" si="9"/>
        <v>140.71850959016754</v>
      </c>
      <c r="M258" s="2">
        <f t="shared" si="11"/>
        <v>0.99999998469708484</v>
      </c>
      <c r="N258" s="2" t="str">
        <f t="shared" si="10"/>
        <v/>
      </c>
      <c r="S258" s="2"/>
      <c r="T258" s="2"/>
      <c r="U258" s="2"/>
      <c r="V258" s="2"/>
      <c r="W258" s="2"/>
      <c r="X258" s="2"/>
      <c r="Y258" s="2"/>
      <c r="Z258" s="2"/>
    </row>
    <row r="259" spans="11:26" x14ac:dyDescent="0.25">
      <c r="K259" s="2">
        <v>245</v>
      </c>
      <c r="L259" s="2">
        <f t="shared" si="9"/>
        <v>141.25573829900316</v>
      </c>
      <c r="M259" s="2">
        <f t="shared" si="11"/>
        <v>0.99999998587875316</v>
      </c>
      <c r="N259" s="2" t="str">
        <f t="shared" si="10"/>
        <v/>
      </c>
      <c r="S259" s="2"/>
      <c r="T259" s="2"/>
      <c r="U259" s="2"/>
      <c r="V259" s="2"/>
      <c r="W259" s="2"/>
      <c r="X259" s="2"/>
      <c r="Y259" s="2"/>
      <c r="Z259" s="2"/>
    </row>
    <row r="260" spans="11:26" x14ac:dyDescent="0.25">
      <c r="K260" s="2">
        <v>246</v>
      </c>
      <c r="L260" s="2">
        <f t="shared" si="9"/>
        <v>141.79289095474968</v>
      </c>
      <c r="M260" s="2">
        <f t="shared" si="11"/>
        <v>0.99999998696953551</v>
      </c>
      <c r="N260" s="2" t="str">
        <f t="shared" si="10"/>
        <v/>
      </c>
      <c r="S260" s="2"/>
      <c r="T260" s="2"/>
      <c r="U260" s="2"/>
      <c r="V260" s="2"/>
      <c r="W260" s="2"/>
      <c r="X260" s="2"/>
      <c r="Y260" s="2"/>
      <c r="Z260" s="2"/>
    </row>
    <row r="261" spans="11:26" x14ac:dyDescent="0.25">
      <c r="K261" s="2">
        <v>247</v>
      </c>
      <c r="L261" s="2">
        <f t="shared" si="9"/>
        <v>142.32996802161824</v>
      </c>
      <c r="M261" s="2">
        <f t="shared" si="11"/>
        <v>0.99999998797639233</v>
      </c>
      <c r="N261" s="2" t="str">
        <f t="shared" si="10"/>
        <v/>
      </c>
      <c r="S261" s="2"/>
      <c r="T261" s="2"/>
      <c r="U261" s="2"/>
      <c r="V261" s="2"/>
      <c r="W261" s="2"/>
      <c r="X261" s="2"/>
      <c r="Y261" s="2"/>
      <c r="Z261" s="2"/>
    </row>
    <row r="262" spans="11:26" x14ac:dyDescent="0.25">
      <c r="K262" s="2">
        <v>248</v>
      </c>
      <c r="L262" s="2">
        <f t="shared" si="9"/>
        <v>142.86696995911672</v>
      </c>
      <c r="M262" s="2">
        <f t="shared" si="11"/>
        <v>0.99999998890575359</v>
      </c>
      <c r="N262" s="2" t="str">
        <f t="shared" si="10"/>
        <v/>
      </c>
      <c r="S262" s="2"/>
      <c r="T262" s="2"/>
      <c r="U262" s="2"/>
      <c r="V262" s="2"/>
      <c r="W262" s="2"/>
      <c r="X262" s="2"/>
      <c r="Y262" s="2"/>
      <c r="Z262" s="2"/>
    </row>
    <row r="263" spans="11:26" x14ac:dyDescent="0.25">
      <c r="K263" s="2">
        <v>249</v>
      </c>
      <c r="L263" s="2">
        <f t="shared" si="9"/>
        <v>143.403897222116</v>
      </c>
      <c r="M263" s="2">
        <f t="shared" si="11"/>
        <v>0.99999998976355919</v>
      </c>
      <c r="N263" s="2" t="str">
        <f t="shared" si="10"/>
        <v/>
      </c>
      <c r="S263" s="2"/>
      <c r="T263" s="2"/>
      <c r="U263" s="2"/>
      <c r="V263" s="2"/>
      <c r="W263" s="2"/>
      <c r="X263" s="2"/>
      <c r="Y263" s="2"/>
      <c r="Z263" s="2"/>
    </row>
    <row r="264" spans="11:26" x14ac:dyDescent="0.25">
      <c r="K264" s="2">
        <v>250</v>
      </c>
      <c r="L264" s="2">
        <f t="shared" si="9"/>
        <v>143.94075026091539</v>
      </c>
      <c r="M264" s="2">
        <f t="shared" si="11"/>
        <v>0.9999999905552952</v>
      </c>
      <c r="N264" s="2" t="str">
        <f t="shared" si="10"/>
        <v/>
      </c>
      <c r="S264" s="2"/>
      <c r="T264" s="2"/>
      <c r="U264" s="2"/>
      <c r="V264" s="2"/>
      <c r="W264" s="2"/>
      <c r="X264" s="2"/>
      <c r="Y264" s="2"/>
      <c r="Z264" s="2"/>
    </row>
    <row r="265" spans="11:26" x14ac:dyDescent="0.25">
      <c r="K265" s="2">
        <v>251</v>
      </c>
      <c r="L265" s="2">
        <f t="shared" si="9"/>
        <v>144.47752952130662</v>
      </c>
      <c r="M265" s="2">
        <f t="shared" si="11"/>
        <v>0.99999999128602934</v>
      </c>
      <c r="N265" s="2" t="str">
        <f t="shared" si="10"/>
        <v/>
      </c>
      <c r="S265" s="2"/>
      <c r="T265" s="2"/>
      <c r="U265" s="2"/>
      <c r="V265" s="2"/>
      <c r="W265" s="2"/>
      <c r="X265" s="2"/>
      <c r="Y265" s="2"/>
      <c r="Z265" s="2"/>
    </row>
    <row r="266" spans="11:26" x14ac:dyDescent="0.25">
      <c r="K266" s="2">
        <v>252</v>
      </c>
      <c r="L266" s="2">
        <f t="shared" si="9"/>
        <v>145.01423544463668</v>
      </c>
      <c r="M266" s="2">
        <f t="shared" si="11"/>
        <v>0.99999999196044254</v>
      </c>
      <c r="N266" s="2" t="str">
        <f t="shared" si="10"/>
        <v/>
      </c>
      <c r="S266" s="2"/>
      <c r="T266" s="2"/>
      <c r="U266" s="2"/>
      <c r="V266" s="2"/>
      <c r="W266" s="2"/>
      <c r="X266" s="2"/>
      <c r="Y266" s="2"/>
      <c r="Z266" s="2"/>
    </row>
    <row r="267" spans="11:26" x14ac:dyDescent="0.25">
      <c r="K267" s="2">
        <v>253</v>
      </c>
      <c r="L267" s="2">
        <f t="shared" si="9"/>
        <v>145.55086846786978</v>
      </c>
      <c r="M267" s="2">
        <f t="shared" si="11"/>
        <v>0.99999999258285777</v>
      </c>
      <c r="N267" s="2" t="str">
        <f t="shared" si="10"/>
        <v/>
      </c>
      <c r="S267" s="2"/>
      <c r="T267" s="2"/>
      <c r="U267" s="2"/>
      <c r="V267" s="2"/>
      <c r="W267" s="2"/>
      <c r="X267" s="2"/>
      <c r="Y267" s="2"/>
      <c r="Z267" s="2"/>
    </row>
    <row r="268" spans="11:26" x14ac:dyDescent="0.25">
      <c r="K268" s="2">
        <v>254</v>
      </c>
      <c r="L268" s="2">
        <f t="shared" si="9"/>
        <v>146.08742902364793</v>
      </c>
      <c r="M268" s="2">
        <f t="shared" si="11"/>
        <v>0.99999999315726784</v>
      </c>
      <c r="N268" s="2" t="str">
        <f t="shared" si="10"/>
        <v/>
      </c>
      <c r="S268" s="2"/>
      <c r="T268" s="2"/>
      <c r="U268" s="2"/>
      <c r="V268" s="2"/>
      <c r="W268" s="2"/>
      <c r="X268" s="2"/>
      <c r="Y268" s="2"/>
      <c r="Z268" s="2"/>
    </row>
    <row r="269" spans="11:26" x14ac:dyDescent="0.25">
      <c r="K269" s="2">
        <v>255</v>
      </c>
      <c r="L269" s="2">
        <f t="shared" si="9"/>
        <v>146.62391754035059</v>
      </c>
      <c r="M269" s="2">
        <f t="shared" si="11"/>
        <v>0.99999999368736014</v>
      </c>
      <c r="N269" s="2" t="str">
        <f t="shared" si="10"/>
        <v/>
      </c>
      <c r="S269" s="2"/>
      <c r="T269" s="2"/>
      <c r="U269" s="2"/>
      <c r="V269" s="2"/>
      <c r="W269" s="2"/>
      <c r="X269" s="2"/>
      <c r="Y269" s="2"/>
      <c r="Z269" s="2"/>
    </row>
    <row r="270" spans="11:26" x14ac:dyDescent="0.25">
      <c r="K270" s="2">
        <v>256</v>
      </c>
      <c r="L270" s="2">
        <f t="shared" si="9"/>
        <v>147.16033444215319</v>
      </c>
      <c r="M270" s="2">
        <f t="shared" si="11"/>
        <v>0.9999999941765404</v>
      </c>
      <c r="N270" s="2" t="str">
        <f t="shared" si="10"/>
        <v/>
      </c>
      <c r="S270" s="2"/>
      <c r="T270" s="2"/>
      <c r="U270" s="2"/>
      <c r="V270" s="2"/>
      <c r="W270" s="2"/>
      <c r="X270" s="2"/>
      <c r="Y270" s="2"/>
      <c r="Z270" s="2"/>
    </row>
    <row r="271" spans="11:26" x14ac:dyDescent="0.25">
      <c r="K271" s="2">
        <v>257</v>
      </c>
      <c r="L271" s="2">
        <f t="shared" si="9"/>
        <v>147.69668014908478</v>
      </c>
      <c r="M271" s="2">
        <f t="shared" si="11"/>
        <v>0.99999999462795341</v>
      </c>
      <c r="N271" s="2" t="str">
        <f t="shared" si="10"/>
        <v/>
      </c>
      <c r="S271" s="2"/>
      <c r="T271" s="2"/>
      <c r="U271" s="2"/>
      <c r="V271" s="2"/>
      <c r="W271" s="2"/>
      <c r="X271" s="2"/>
      <c r="Y271" s="2"/>
      <c r="Z271" s="2"/>
    </row>
    <row r="272" spans="11:26" x14ac:dyDescent="0.25">
      <c r="K272" s="2">
        <v>258</v>
      </c>
      <c r="L272" s="2">
        <f t="shared" ref="L272:L335" si="12">CHIINV($C$7,K272)/$J$15</f>
        <v>148.23295507708445</v>
      </c>
      <c r="M272" s="2">
        <f t="shared" si="11"/>
        <v>0.99999999504450332</v>
      </c>
      <c r="N272" s="2" t="str">
        <f t="shared" ref="N272:N335" si="13">IF(M272&lt;$C$11,K272,"")</f>
        <v/>
      </c>
      <c r="S272" s="2"/>
      <c r="T272" s="2"/>
      <c r="U272" s="2"/>
      <c r="V272" s="2"/>
      <c r="W272" s="2"/>
      <c r="X272" s="2"/>
      <c r="Y272" s="2"/>
      <c r="Z272" s="2"/>
    </row>
    <row r="273" spans="11:26" x14ac:dyDescent="0.25">
      <c r="K273" s="2">
        <v>259</v>
      </c>
      <c r="L273" s="2">
        <f t="shared" si="12"/>
        <v>148.76915963805683</v>
      </c>
      <c r="M273" s="2">
        <f t="shared" si="11"/>
        <v>0.9999999954288723</v>
      </c>
      <c r="N273" s="2" t="str">
        <f t="shared" si="13"/>
        <v/>
      </c>
      <c r="S273" s="2"/>
      <c r="T273" s="2"/>
      <c r="U273" s="2"/>
      <c r="V273" s="2"/>
      <c r="W273" s="2"/>
      <c r="X273" s="2"/>
      <c r="Y273" s="2"/>
      <c r="Z273" s="2"/>
    </row>
    <row r="274" spans="11:26" x14ac:dyDescent="0.25">
      <c r="K274" s="2">
        <v>260</v>
      </c>
      <c r="L274" s="2">
        <f t="shared" si="12"/>
        <v>149.30529423992689</v>
      </c>
      <c r="M274" s="2">
        <f t="shared" si="11"/>
        <v>0.99999999578353649</v>
      </c>
      <c r="N274" s="2" t="str">
        <f t="shared" si="13"/>
        <v/>
      </c>
      <c r="S274" s="2"/>
      <c r="T274" s="2"/>
      <c r="U274" s="2"/>
      <c r="V274" s="2"/>
      <c r="W274" s="2"/>
      <c r="X274" s="2"/>
      <c r="Y274" s="2"/>
      <c r="Z274" s="2"/>
    </row>
    <row r="275" spans="11:26" x14ac:dyDescent="0.25">
      <c r="K275" s="2">
        <v>261</v>
      </c>
      <c r="L275" s="2">
        <f t="shared" si="12"/>
        <v>149.84135928669323</v>
      </c>
      <c r="M275" s="2">
        <f t="shared" si="11"/>
        <v>0.99999999611078272</v>
      </c>
      <c r="N275" s="2" t="str">
        <f t="shared" si="13"/>
        <v/>
      </c>
      <c r="S275" s="2"/>
      <c r="T275" s="2"/>
      <c r="U275" s="2"/>
      <c r="V275" s="2"/>
      <c r="W275" s="2"/>
      <c r="X275" s="2"/>
      <c r="Y275" s="2"/>
      <c r="Z275" s="2"/>
    </row>
    <row r="276" spans="11:26" x14ac:dyDescent="0.25">
      <c r="K276" s="2">
        <v>262</v>
      </c>
      <c r="L276" s="2">
        <f t="shared" si="12"/>
        <v>150.37735517848108</v>
      </c>
      <c r="M276" s="2">
        <f t="shared" ref="M276:M339" si="14">CHIDIST(L276,K276)</f>
        <v>0.99999999641272219</v>
      </c>
      <c r="N276" s="2" t="str">
        <f t="shared" si="13"/>
        <v/>
      </c>
      <c r="S276" s="2"/>
      <c r="T276" s="2"/>
      <c r="U276" s="2"/>
      <c r="V276" s="2"/>
      <c r="W276" s="2"/>
      <c r="X276" s="2"/>
      <c r="Y276" s="2"/>
      <c r="Z276" s="2"/>
    </row>
    <row r="277" spans="11:26" x14ac:dyDescent="0.25">
      <c r="K277" s="2">
        <v>263</v>
      </c>
      <c r="L277" s="2">
        <f t="shared" si="12"/>
        <v>150.91328231159397</v>
      </c>
      <c r="M277" s="2">
        <f t="shared" si="14"/>
        <v>0.99999999669130468</v>
      </c>
      <c r="N277" s="2" t="str">
        <f t="shared" si="13"/>
        <v/>
      </c>
      <c r="S277" s="2"/>
      <c r="T277" s="2"/>
      <c r="U277" s="2"/>
      <c r="V277" s="2"/>
      <c r="W277" s="2"/>
      <c r="X277" s="2"/>
      <c r="Y277" s="2"/>
      <c r="Z277" s="2"/>
    </row>
    <row r="278" spans="11:26" x14ac:dyDescent="0.25">
      <c r="K278" s="2">
        <v>264</v>
      </c>
      <c r="L278" s="2">
        <f t="shared" si="12"/>
        <v>151.44914107856459</v>
      </c>
      <c r="M278" s="2">
        <f t="shared" si="14"/>
        <v>0.99999999694832975</v>
      </c>
      <c r="N278" s="2" t="str">
        <f t="shared" si="13"/>
        <v/>
      </c>
      <c r="S278" s="2"/>
      <c r="T278" s="2"/>
      <c r="U278" s="2"/>
      <c r="V278" s="2"/>
      <c r="W278" s="2"/>
      <c r="X278" s="2"/>
      <c r="Y278" s="2"/>
      <c r="Z278" s="2"/>
    </row>
    <row r="279" spans="11:26" x14ac:dyDescent="0.25">
      <c r="K279" s="2">
        <v>265</v>
      </c>
      <c r="L279" s="2">
        <f t="shared" si="12"/>
        <v>151.98493186820494</v>
      </c>
      <c r="M279" s="2">
        <f t="shared" si="14"/>
        <v>0.9999999971854594</v>
      </c>
      <c r="N279" s="2" t="str">
        <f t="shared" si="13"/>
        <v/>
      </c>
      <c r="S279" s="2"/>
      <c r="T279" s="2"/>
      <c r="U279" s="2"/>
      <c r="V279" s="2"/>
      <c r="W279" s="2"/>
      <c r="X279" s="2"/>
      <c r="Y279" s="2"/>
      <c r="Z279" s="2"/>
    </row>
    <row r="280" spans="11:26" x14ac:dyDescent="0.25">
      <c r="K280" s="2">
        <v>266</v>
      </c>
      <c r="L280" s="2">
        <f t="shared" si="12"/>
        <v>152.52065506565546</v>
      </c>
      <c r="M280" s="2">
        <f t="shared" si="14"/>
        <v>0.99999999740422785</v>
      </c>
      <c r="N280" s="2" t="str">
        <f t="shared" si="13"/>
        <v/>
      </c>
      <c r="S280" s="2"/>
      <c r="T280" s="2"/>
      <c r="U280" s="2"/>
      <c r="V280" s="2"/>
      <c r="W280" s="2"/>
      <c r="X280" s="2"/>
      <c r="Y280" s="2"/>
      <c r="Z280" s="2"/>
    </row>
    <row r="281" spans="11:26" x14ac:dyDescent="0.25">
      <c r="K281" s="2">
        <v>267</v>
      </c>
      <c r="L281" s="2">
        <f t="shared" si="12"/>
        <v>153.05631105243336</v>
      </c>
      <c r="M281" s="2">
        <f t="shared" si="14"/>
        <v>0.99999999760605141</v>
      </c>
      <c r="N281" s="2" t="str">
        <f t="shared" si="13"/>
        <v/>
      </c>
      <c r="S281" s="2"/>
      <c r="T281" s="2"/>
      <c r="U281" s="2"/>
      <c r="V281" s="2"/>
      <c r="W281" s="2"/>
      <c r="X281" s="2"/>
      <c r="Y281" s="2"/>
      <c r="Z281" s="2"/>
    </row>
    <row r="282" spans="11:26" x14ac:dyDescent="0.25">
      <c r="K282" s="2">
        <v>268</v>
      </c>
      <c r="L282" s="2">
        <f t="shared" si="12"/>
        <v>153.5919002064802</v>
      </c>
      <c r="M282" s="2">
        <f t="shared" si="14"/>
        <v>0.99999999779223758</v>
      </c>
      <c r="N282" s="2" t="str">
        <f t="shared" si="13"/>
        <v/>
      </c>
      <c r="S282" s="2"/>
      <c r="T282" s="2"/>
      <c r="U282" s="2"/>
      <c r="V282" s="2"/>
      <c r="W282" s="2"/>
      <c r="X282" s="2"/>
      <c r="Y282" s="2"/>
      <c r="Z282" s="2"/>
    </row>
    <row r="283" spans="11:26" x14ac:dyDescent="0.25">
      <c r="K283" s="2">
        <v>269</v>
      </c>
      <c r="L283" s="2">
        <f t="shared" si="12"/>
        <v>154.12742290220871</v>
      </c>
      <c r="M283" s="2">
        <f t="shared" si="14"/>
        <v>0.99999999796399353</v>
      </c>
      <c r="N283" s="2" t="str">
        <f t="shared" si="13"/>
        <v/>
      </c>
      <c r="S283" s="2"/>
      <c r="T283" s="2"/>
      <c r="U283" s="2"/>
      <c r="V283" s="2"/>
      <c r="W283" s="2"/>
      <c r="X283" s="2"/>
      <c r="Y283" s="2"/>
      <c r="Z283" s="2"/>
    </row>
    <row r="284" spans="11:26" x14ac:dyDescent="0.25">
      <c r="K284" s="2">
        <v>270</v>
      </c>
      <c r="L284" s="2">
        <f t="shared" si="12"/>
        <v>154.66287951054852</v>
      </c>
      <c r="M284" s="2">
        <f t="shared" si="14"/>
        <v>0.99999999812243345</v>
      </c>
      <c r="N284" s="2" t="str">
        <f t="shared" si="13"/>
        <v/>
      </c>
      <c r="S284" s="2"/>
      <c r="T284" s="2"/>
      <c r="U284" s="2"/>
      <c r="V284" s="2"/>
      <c r="W284" s="2"/>
      <c r="X284" s="2"/>
      <c r="Y284" s="2"/>
      <c r="Z284" s="2"/>
    </row>
    <row r="285" spans="11:26" x14ac:dyDescent="0.25">
      <c r="K285" s="2">
        <v>271</v>
      </c>
      <c r="L285" s="2">
        <f t="shared" si="12"/>
        <v>155.19827039899164</v>
      </c>
      <c r="M285" s="2">
        <f t="shared" si="14"/>
        <v>0.99999999826858599</v>
      </c>
      <c r="N285" s="2" t="str">
        <f t="shared" si="13"/>
        <v/>
      </c>
      <c r="S285" s="2"/>
      <c r="T285" s="2"/>
      <c r="U285" s="2"/>
      <c r="V285" s="2"/>
      <c r="W285" s="2"/>
      <c r="X285" s="2"/>
      <c r="Y285" s="2"/>
      <c r="Z285" s="2"/>
    </row>
    <row r="286" spans="11:26" x14ac:dyDescent="0.25">
      <c r="K286" s="2">
        <v>272</v>
      </c>
      <c r="L286" s="2">
        <f t="shared" si="12"/>
        <v>155.73359593163667</v>
      </c>
      <c r="M286" s="2">
        <f t="shared" si="14"/>
        <v>0.99999999840340048</v>
      </c>
      <c r="N286" s="2" t="str">
        <f t="shared" si="13"/>
        <v/>
      </c>
      <c r="S286" s="2"/>
      <c r="T286" s="2"/>
      <c r="U286" s="2"/>
      <c r="V286" s="2"/>
      <c r="W286" s="2"/>
      <c r="X286" s="2"/>
      <c r="Y286" s="2"/>
      <c r="Z286" s="2"/>
    </row>
    <row r="287" spans="11:26" x14ac:dyDescent="0.25">
      <c r="K287" s="2">
        <v>273</v>
      </c>
      <c r="L287" s="2">
        <f t="shared" si="12"/>
        <v>156.26885646923259</v>
      </c>
      <c r="M287" s="2">
        <f t="shared" si="14"/>
        <v>0.99999999852775345</v>
      </c>
      <c r="N287" s="2" t="str">
        <f t="shared" si="13"/>
        <v/>
      </c>
      <c r="S287" s="2"/>
      <c r="T287" s="2"/>
      <c r="U287" s="2"/>
      <c r="V287" s="2"/>
      <c r="W287" s="2"/>
      <c r="X287" s="2"/>
      <c r="Y287" s="2"/>
      <c r="Z287" s="2"/>
    </row>
    <row r="288" spans="11:26" x14ac:dyDescent="0.25">
      <c r="K288" s="2">
        <v>274</v>
      </c>
      <c r="L288" s="2">
        <f t="shared" si="12"/>
        <v>156.80405236922184</v>
      </c>
      <c r="M288" s="2">
        <f t="shared" si="14"/>
        <v>0.9999999986424537</v>
      </c>
      <c r="N288" s="2" t="str">
        <f t="shared" si="13"/>
        <v/>
      </c>
      <c r="S288" s="2"/>
      <c r="T288" s="2"/>
      <c r="U288" s="2"/>
      <c r="V288" s="2"/>
      <c r="W288" s="2"/>
      <c r="X288" s="2"/>
      <c r="Y288" s="2"/>
      <c r="Z288" s="2"/>
    </row>
    <row r="289" spans="11:26" x14ac:dyDescent="0.25">
      <c r="K289" s="2">
        <v>275</v>
      </c>
      <c r="L289" s="2">
        <f t="shared" si="12"/>
        <v>157.33918398578237</v>
      </c>
      <c r="M289" s="2">
        <f t="shared" si="14"/>
        <v>0.99999999874824774</v>
      </c>
      <c r="N289" s="2" t="str">
        <f t="shared" si="13"/>
        <v/>
      </c>
      <c r="S289" s="2"/>
      <c r="T289" s="2"/>
      <c r="U289" s="2"/>
      <c r="V289" s="2"/>
      <c r="W289" s="2"/>
      <c r="X289" s="2"/>
      <c r="Y289" s="2"/>
      <c r="Z289" s="2"/>
    </row>
    <row r="290" spans="11:26" x14ac:dyDescent="0.25">
      <c r="K290" s="2">
        <v>276</v>
      </c>
      <c r="L290" s="2">
        <f t="shared" si="12"/>
        <v>157.87425166986949</v>
      </c>
      <c r="M290" s="2">
        <f t="shared" si="14"/>
        <v>0.99999999884582469</v>
      </c>
      <c r="N290" s="2" t="str">
        <f t="shared" si="13"/>
        <v/>
      </c>
      <c r="S290" s="2"/>
      <c r="T290" s="2"/>
      <c r="U290" s="2"/>
      <c r="V290" s="2"/>
      <c r="W290" s="2"/>
      <c r="X290" s="2"/>
      <c r="Y290" s="2"/>
      <c r="Z290" s="2"/>
    </row>
    <row r="291" spans="11:26" x14ac:dyDescent="0.25">
      <c r="K291" s="2">
        <v>277</v>
      </c>
      <c r="L291" s="2">
        <f t="shared" si="12"/>
        <v>158.40925576925659</v>
      </c>
      <c r="M291" s="2">
        <f t="shared" si="14"/>
        <v>0.99999999893582059</v>
      </c>
      <c r="N291" s="2" t="str">
        <f t="shared" si="13"/>
        <v/>
      </c>
      <c r="S291" s="2"/>
      <c r="T291" s="2"/>
      <c r="U291" s="2"/>
      <c r="V291" s="2"/>
      <c r="W291" s="2"/>
      <c r="X291" s="2"/>
      <c r="Y291" s="2"/>
      <c r="Z291" s="2"/>
    </row>
    <row r="292" spans="11:26" x14ac:dyDescent="0.25">
      <c r="K292" s="2">
        <v>278</v>
      </c>
      <c r="L292" s="2">
        <f t="shared" si="12"/>
        <v>158.94419662857541</v>
      </c>
      <c r="M292" s="2">
        <f t="shared" si="14"/>
        <v>0.99999999901882219</v>
      </c>
      <c r="N292" s="2" t="str">
        <f t="shared" si="13"/>
        <v/>
      </c>
      <c r="S292" s="2"/>
      <c r="T292" s="2"/>
      <c r="U292" s="2"/>
      <c r="V292" s="2"/>
      <c r="W292" s="2"/>
      <c r="X292" s="2"/>
      <c r="Y292" s="2"/>
      <c r="Z292" s="2"/>
    </row>
    <row r="293" spans="11:26" x14ac:dyDescent="0.25">
      <c r="K293" s="2">
        <v>279</v>
      </c>
      <c r="L293" s="2">
        <f t="shared" si="12"/>
        <v>159.47907458935572</v>
      </c>
      <c r="M293" s="2">
        <f t="shared" si="14"/>
        <v>0.99999999909537118</v>
      </c>
      <c r="N293" s="2" t="str">
        <f t="shared" si="13"/>
        <v/>
      </c>
      <c r="S293" s="2"/>
      <c r="T293" s="2"/>
      <c r="U293" s="2"/>
      <c r="V293" s="2"/>
      <c r="W293" s="2"/>
      <c r="X293" s="2"/>
      <c r="Y293" s="2"/>
      <c r="Z293" s="2"/>
    </row>
    <row r="294" spans="11:26" x14ac:dyDescent="0.25">
      <c r="K294" s="2">
        <v>280</v>
      </c>
      <c r="L294" s="2">
        <f t="shared" si="12"/>
        <v>160.01388999006414</v>
      </c>
      <c r="M294" s="2">
        <f t="shared" si="14"/>
        <v>0.9999999991659676</v>
      </c>
      <c r="N294" s="2" t="str">
        <f t="shared" si="13"/>
        <v/>
      </c>
      <c r="S294" s="2"/>
      <c r="T294" s="2"/>
      <c r="U294" s="2"/>
      <c r="V294" s="2"/>
      <c r="W294" s="2"/>
      <c r="X294" s="2"/>
      <c r="Y294" s="2"/>
      <c r="Z294" s="2"/>
    </row>
    <row r="295" spans="11:26" x14ac:dyDescent="0.25">
      <c r="K295" s="2">
        <v>281</v>
      </c>
      <c r="L295" s="2">
        <f t="shared" si="12"/>
        <v>160.5486431661426</v>
      </c>
      <c r="M295" s="2">
        <f t="shared" si="14"/>
        <v>0.99999999923107263</v>
      </c>
      <c r="N295" s="2" t="str">
        <f t="shared" si="13"/>
        <v/>
      </c>
      <c r="S295" s="2"/>
      <c r="T295" s="2"/>
      <c r="U295" s="2"/>
      <c r="V295" s="2"/>
      <c r="W295" s="2"/>
      <c r="X295" s="2"/>
      <c r="Y295" s="2"/>
      <c r="Z295" s="2"/>
    </row>
    <row r="296" spans="11:26" x14ac:dyDescent="0.25">
      <c r="K296" s="2">
        <v>282</v>
      </c>
      <c r="L296" s="2">
        <f t="shared" si="12"/>
        <v>161.08333445004592</v>
      </c>
      <c r="M296" s="2">
        <f t="shared" si="14"/>
        <v>0.99999999929111183</v>
      </c>
      <c r="N296" s="2" t="str">
        <f t="shared" si="13"/>
        <v/>
      </c>
      <c r="S296" s="2"/>
      <c r="T296" s="2"/>
      <c r="U296" s="2"/>
      <c r="V296" s="2"/>
      <c r="W296" s="2"/>
      <c r="X296" s="2"/>
      <c r="Y296" s="2"/>
      <c r="Z296" s="2"/>
    </row>
    <row r="297" spans="11:26" x14ac:dyDescent="0.25">
      <c r="K297" s="2">
        <v>283</v>
      </c>
      <c r="L297" s="2">
        <f t="shared" si="12"/>
        <v>161.61796417127903</v>
      </c>
      <c r="M297" s="2">
        <f t="shared" si="14"/>
        <v>0.99999999934647821</v>
      </c>
      <c r="N297" s="2" t="str">
        <f t="shared" si="13"/>
        <v/>
      </c>
      <c r="S297" s="2"/>
      <c r="T297" s="2"/>
      <c r="U297" s="2"/>
      <c r="V297" s="2"/>
      <c r="W297" s="2"/>
      <c r="X297" s="2"/>
      <c r="Y297" s="2"/>
      <c r="Z297" s="2"/>
    </row>
    <row r="298" spans="11:26" x14ac:dyDescent="0.25">
      <c r="K298" s="2">
        <v>284</v>
      </c>
      <c r="L298" s="2">
        <f t="shared" si="12"/>
        <v>162.15253265643341</v>
      </c>
      <c r="M298" s="2">
        <f t="shared" si="14"/>
        <v>0.99999999939753403</v>
      </c>
      <c r="N298" s="2" t="str">
        <f t="shared" si="13"/>
        <v/>
      </c>
      <c r="S298" s="2"/>
      <c r="T298" s="2"/>
      <c r="U298" s="2"/>
      <c r="V298" s="2"/>
      <c r="W298" s="2"/>
      <c r="X298" s="2"/>
      <c r="Y298" s="2"/>
      <c r="Z298" s="2"/>
    </row>
    <row r="299" spans="11:26" x14ac:dyDescent="0.25">
      <c r="K299" s="2">
        <v>285</v>
      </c>
      <c r="L299" s="2">
        <f t="shared" si="12"/>
        <v>162.68704022922307</v>
      </c>
      <c r="M299" s="2">
        <f t="shared" si="14"/>
        <v>0.99999999944461393</v>
      </c>
      <c r="N299" s="2" t="str">
        <f t="shared" si="13"/>
        <v/>
      </c>
      <c r="S299" s="2"/>
      <c r="T299" s="2"/>
      <c r="U299" s="2"/>
      <c r="V299" s="2"/>
      <c r="W299" s="2"/>
      <c r="X299" s="2"/>
      <c r="Y299" s="2"/>
      <c r="Z299" s="2"/>
    </row>
    <row r="300" spans="11:26" x14ac:dyDescent="0.25">
      <c r="K300" s="2">
        <v>286</v>
      </c>
      <c r="L300" s="2">
        <f t="shared" si="12"/>
        <v>163.22148721051985</v>
      </c>
      <c r="M300" s="2">
        <f t="shared" si="14"/>
        <v>0.99999999948802631</v>
      </c>
      <c r="N300" s="2" t="str">
        <f t="shared" si="13"/>
        <v/>
      </c>
      <c r="S300" s="2"/>
      <c r="T300" s="2"/>
      <c r="U300" s="2"/>
      <c r="V300" s="2"/>
      <c r="W300" s="2"/>
      <c r="X300" s="2"/>
      <c r="Y300" s="2"/>
      <c r="Z300" s="2"/>
    </row>
    <row r="301" spans="11:26" x14ac:dyDescent="0.25">
      <c r="K301" s="2">
        <v>287</v>
      </c>
      <c r="L301" s="2">
        <f t="shared" si="12"/>
        <v>163.75587391838835</v>
      </c>
      <c r="M301" s="2">
        <f t="shared" si="14"/>
        <v>0.99999999952805596</v>
      </c>
      <c r="N301" s="2" t="str">
        <f t="shared" si="13"/>
        <v/>
      </c>
      <c r="S301" s="2"/>
      <c r="T301" s="2"/>
      <c r="U301" s="2"/>
      <c r="V301" s="2"/>
      <c r="W301" s="2"/>
      <c r="X301" s="2"/>
      <c r="Y301" s="2"/>
      <c r="Z301" s="2"/>
    </row>
    <row r="302" spans="11:26" x14ac:dyDescent="0.25">
      <c r="K302" s="2">
        <v>288</v>
      </c>
      <c r="L302" s="2">
        <f t="shared" si="12"/>
        <v>164.29020066812009</v>
      </c>
      <c r="M302" s="2">
        <f t="shared" si="14"/>
        <v>0.99999999956496577</v>
      </c>
      <c r="N302" s="2" t="str">
        <f t="shared" si="13"/>
        <v/>
      </c>
      <c r="S302" s="2"/>
      <c r="T302" s="2"/>
      <c r="U302" s="2"/>
      <c r="V302" s="2"/>
      <c r="W302" s="2"/>
      <c r="X302" s="2"/>
      <c r="Y302" s="2"/>
      <c r="Z302" s="2"/>
    </row>
    <row r="303" spans="11:26" x14ac:dyDescent="0.25">
      <c r="K303" s="2">
        <v>289</v>
      </c>
      <c r="L303" s="2">
        <f t="shared" si="12"/>
        <v>164.8244677722673</v>
      </c>
      <c r="M303" s="2">
        <f t="shared" si="14"/>
        <v>0.99999999959899777</v>
      </c>
      <c r="N303" s="2" t="str">
        <f t="shared" si="13"/>
        <v/>
      </c>
      <c r="S303" s="2"/>
      <c r="T303" s="2"/>
      <c r="U303" s="2"/>
      <c r="V303" s="2"/>
      <c r="W303" s="2"/>
      <c r="X303" s="2"/>
      <c r="Y303" s="2"/>
      <c r="Z303" s="2"/>
    </row>
    <row r="304" spans="11:26" x14ac:dyDescent="0.25">
      <c r="K304" s="2">
        <v>290</v>
      </c>
      <c r="L304" s="2">
        <f t="shared" si="12"/>
        <v>165.35867554067605</v>
      </c>
      <c r="M304" s="2">
        <f t="shared" si="14"/>
        <v>0.99999999963037578</v>
      </c>
      <c r="N304" s="2" t="str">
        <f t="shared" si="13"/>
        <v/>
      </c>
      <c r="S304" s="2"/>
      <c r="T304" s="2"/>
      <c r="U304" s="2"/>
      <c r="V304" s="2"/>
      <c r="W304" s="2"/>
      <c r="X304" s="2"/>
      <c r="Y304" s="2"/>
      <c r="Z304" s="2"/>
    </row>
    <row r="305" spans="11:26" x14ac:dyDescent="0.25">
      <c r="K305" s="2">
        <v>291</v>
      </c>
      <c r="L305" s="2">
        <f t="shared" si="12"/>
        <v>165.89282428051905</v>
      </c>
      <c r="M305" s="2">
        <f t="shared" si="14"/>
        <v>0.99999999965930608</v>
      </c>
      <c r="N305" s="2" t="str">
        <f t="shared" si="13"/>
        <v/>
      </c>
      <c r="S305" s="2"/>
      <c r="T305" s="2"/>
      <c r="U305" s="2"/>
      <c r="V305" s="2"/>
      <c r="W305" s="2"/>
      <c r="X305" s="2"/>
      <c r="Y305" s="2"/>
      <c r="Z305" s="2"/>
    </row>
    <row r="306" spans="11:26" x14ac:dyDescent="0.25">
      <c r="K306" s="2">
        <v>292</v>
      </c>
      <c r="L306" s="2">
        <f t="shared" si="12"/>
        <v>166.42691429632779</v>
      </c>
      <c r="M306" s="2">
        <f t="shared" si="14"/>
        <v>0.99999999968597897</v>
      </c>
      <c r="N306" s="2" t="str">
        <f t="shared" si="13"/>
        <v/>
      </c>
      <c r="S306" s="2"/>
      <c r="T306" s="2"/>
      <c r="U306" s="2"/>
      <c r="V306" s="2"/>
      <c r="W306" s="2"/>
      <c r="X306" s="2"/>
      <c r="Y306" s="2"/>
      <c r="Z306" s="2"/>
    </row>
    <row r="307" spans="11:26" x14ac:dyDescent="0.25">
      <c r="K307" s="2">
        <v>293</v>
      </c>
      <c r="L307" s="2">
        <f t="shared" si="12"/>
        <v>166.96094589002416</v>
      </c>
      <c r="M307" s="2">
        <f t="shared" si="14"/>
        <v>0.99999999971056996</v>
      </c>
      <c r="N307" s="2" t="str">
        <f t="shared" si="13"/>
        <v/>
      </c>
      <c r="S307" s="2"/>
      <c r="T307" s="2"/>
      <c r="U307" s="2"/>
      <c r="V307" s="2"/>
      <c r="W307" s="2"/>
      <c r="X307" s="2"/>
      <c r="Y307" s="2"/>
      <c r="Z307" s="2"/>
    </row>
    <row r="308" spans="11:26" x14ac:dyDescent="0.25">
      <c r="K308" s="2">
        <v>294</v>
      </c>
      <c r="L308" s="2">
        <f t="shared" si="12"/>
        <v>167.49491936095174</v>
      </c>
      <c r="M308" s="2">
        <f t="shared" si="14"/>
        <v>0.99999999973324116</v>
      </c>
      <c r="N308" s="2" t="str">
        <f t="shared" si="13"/>
        <v/>
      </c>
      <c r="S308" s="2"/>
      <c r="T308" s="2"/>
      <c r="U308" s="2"/>
      <c r="V308" s="2"/>
      <c r="W308" s="2"/>
      <c r="X308" s="2"/>
      <c r="Y308" s="2"/>
      <c r="Z308" s="2"/>
    </row>
    <row r="309" spans="11:26" x14ac:dyDescent="0.25">
      <c r="K309" s="2">
        <v>295</v>
      </c>
      <c r="L309" s="2">
        <f t="shared" si="12"/>
        <v>168.02883500590647</v>
      </c>
      <c r="M309" s="2">
        <f t="shared" si="14"/>
        <v>0.99999999975414178</v>
      </c>
      <c r="N309" s="2" t="str">
        <f t="shared" si="13"/>
        <v/>
      </c>
      <c r="S309" s="2"/>
      <c r="T309" s="2"/>
      <c r="U309" s="2"/>
      <c r="V309" s="2"/>
      <c r="W309" s="2"/>
      <c r="X309" s="2"/>
      <c r="Y309" s="2"/>
      <c r="Z309" s="2"/>
    </row>
    <row r="310" spans="11:26" x14ac:dyDescent="0.25">
      <c r="K310" s="2">
        <v>296</v>
      </c>
      <c r="L310" s="2">
        <f t="shared" si="12"/>
        <v>168.56269311916688</v>
      </c>
      <c r="M310" s="2">
        <f t="shared" si="14"/>
        <v>0.9999999997734097</v>
      </c>
      <c r="N310" s="2" t="str">
        <f t="shared" si="13"/>
        <v/>
      </c>
      <c r="S310" s="2"/>
      <c r="T310" s="2"/>
      <c r="U310" s="2"/>
      <c r="V310" s="2"/>
      <c r="W310" s="2"/>
      <c r="X310" s="2"/>
      <c r="Y310" s="2"/>
      <c r="Z310" s="2"/>
    </row>
    <row r="311" spans="11:26" x14ac:dyDescent="0.25">
      <c r="K311" s="2">
        <v>297</v>
      </c>
      <c r="L311" s="2">
        <f t="shared" si="12"/>
        <v>169.09649399252396</v>
      </c>
      <c r="M311" s="2">
        <f t="shared" si="14"/>
        <v>0.99999999979117216</v>
      </c>
      <c r="N311" s="2" t="str">
        <f t="shared" si="13"/>
        <v/>
      </c>
      <c r="S311" s="2"/>
      <c r="T311" s="2"/>
      <c r="U311" s="2"/>
      <c r="V311" s="2"/>
      <c r="W311" s="2"/>
      <c r="X311" s="2"/>
      <c r="Y311" s="2"/>
      <c r="Z311" s="2"/>
    </row>
    <row r="312" spans="11:26" x14ac:dyDescent="0.25">
      <c r="K312" s="2">
        <v>298</v>
      </c>
      <c r="L312" s="2">
        <f t="shared" si="12"/>
        <v>169.63023791531046</v>
      </c>
      <c r="M312" s="2">
        <f t="shared" si="14"/>
        <v>0.99999999980754639</v>
      </c>
      <c r="N312" s="2" t="str">
        <f t="shared" si="13"/>
        <v/>
      </c>
      <c r="S312" s="2"/>
      <c r="T312" s="2"/>
      <c r="U312" s="2"/>
      <c r="V312" s="2"/>
      <c r="W312" s="2"/>
      <c r="X312" s="2"/>
      <c r="Y312" s="2"/>
      <c r="Z312" s="2"/>
    </row>
    <row r="313" spans="11:26" x14ac:dyDescent="0.25">
      <c r="K313" s="2">
        <v>299</v>
      </c>
      <c r="L313" s="2">
        <f t="shared" si="12"/>
        <v>170.16392517442978</v>
      </c>
      <c r="M313" s="2">
        <f t="shared" si="14"/>
        <v>0.99999999982264054</v>
      </c>
      <c r="N313" s="2" t="str">
        <f t="shared" si="13"/>
        <v/>
      </c>
      <c r="S313" s="2"/>
      <c r="T313" s="2"/>
      <c r="U313" s="2"/>
      <c r="V313" s="2"/>
      <c r="W313" s="2"/>
      <c r="X313" s="2"/>
      <c r="Y313" s="2"/>
      <c r="Z313" s="2"/>
    </row>
    <row r="314" spans="11:26" x14ac:dyDescent="0.25">
      <c r="K314" s="2">
        <v>300</v>
      </c>
      <c r="L314" s="2">
        <f t="shared" si="12"/>
        <v>170.69755605438436</v>
      </c>
      <c r="M314" s="2">
        <f t="shared" si="14"/>
        <v>0.9999999998365543</v>
      </c>
      <c r="N314" s="2" t="str">
        <f t="shared" si="13"/>
        <v/>
      </c>
      <c r="S314" s="2"/>
      <c r="T314" s="2"/>
      <c r="U314" s="2"/>
      <c r="V314" s="2"/>
      <c r="W314" s="2"/>
      <c r="X314" s="2"/>
      <c r="Y314" s="2"/>
      <c r="Z314" s="2"/>
    </row>
    <row r="315" spans="11:26" x14ac:dyDescent="0.25">
      <c r="K315" s="2">
        <v>301</v>
      </c>
      <c r="L315" s="2">
        <f t="shared" si="12"/>
        <v>171.23113083730394</v>
      </c>
      <c r="M315" s="2">
        <f t="shared" si="14"/>
        <v>0.99999999984937982</v>
      </c>
      <c r="N315" s="2" t="str">
        <f t="shared" si="13"/>
        <v/>
      </c>
      <c r="S315" s="2"/>
      <c r="T315" s="2"/>
      <c r="U315" s="2"/>
      <c r="V315" s="2"/>
      <c r="W315" s="2"/>
      <c r="X315" s="2"/>
      <c r="Y315" s="2"/>
      <c r="Z315" s="2"/>
    </row>
    <row r="316" spans="11:26" x14ac:dyDescent="0.25">
      <c r="K316" s="2">
        <v>302</v>
      </c>
      <c r="L316" s="2">
        <f t="shared" si="12"/>
        <v>171.76464980297291</v>
      </c>
      <c r="M316" s="2">
        <f t="shared" si="14"/>
        <v>0.99999999986120169</v>
      </c>
      <c r="N316" s="2" t="str">
        <f t="shared" si="13"/>
        <v/>
      </c>
      <c r="S316" s="2"/>
      <c r="T316" s="2"/>
      <c r="U316" s="2"/>
      <c r="V316" s="2"/>
      <c r="W316" s="2"/>
      <c r="X316" s="2"/>
      <c r="Y316" s="2"/>
      <c r="Z316" s="2"/>
    </row>
    <row r="317" spans="11:26" x14ac:dyDescent="0.25">
      <c r="K317" s="2">
        <v>303</v>
      </c>
      <c r="L317" s="2">
        <f t="shared" si="12"/>
        <v>172.29811322885763</v>
      </c>
      <c r="M317" s="2">
        <f t="shared" si="14"/>
        <v>0.99999999987209853</v>
      </c>
      <c r="N317" s="2" t="str">
        <f t="shared" si="13"/>
        <v/>
      </c>
      <c r="S317" s="2"/>
      <c r="T317" s="2"/>
      <c r="U317" s="2"/>
      <c r="V317" s="2"/>
      <c r="W317" s="2"/>
      <c r="X317" s="2"/>
      <c r="Y317" s="2"/>
      <c r="Z317" s="2"/>
    </row>
    <row r="318" spans="11:26" x14ac:dyDescent="0.25">
      <c r="K318" s="2">
        <v>304</v>
      </c>
      <c r="L318" s="2">
        <f t="shared" si="12"/>
        <v>172.83152139013325</v>
      </c>
      <c r="M318" s="2">
        <f t="shared" si="14"/>
        <v>0.99999999988214228</v>
      </c>
      <c r="N318" s="2" t="str">
        <f t="shared" si="13"/>
        <v/>
      </c>
      <c r="S318" s="2"/>
      <c r="T318" s="2"/>
      <c r="U318" s="2"/>
      <c r="V318" s="2"/>
      <c r="W318" s="2"/>
      <c r="X318" s="2"/>
      <c r="Y318" s="2"/>
      <c r="Z318" s="2"/>
    </row>
    <row r="319" spans="11:26" x14ac:dyDescent="0.25">
      <c r="K319" s="2">
        <v>305</v>
      </c>
      <c r="L319" s="2">
        <f t="shared" si="12"/>
        <v>173.36487455971013</v>
      </c>
      <c r="M319" s="2">
        <f t="shared" si="14"/>
        <v>0.99999999989139954</v>
      </c>
      <c r="N319" s="2" t="str">
        <f t="shared" si="13"/>
        <v/>
      </c>
      <c r="S319" s="2"/>
      <c r="T319" s="2"/>
      <c r="U319" s="2"/>
      <c r="V319" s="2"/>
      <c r="W319" s="2"/>
      <c r="X319" s="2"/>
      <c r="Y319" s="2"/>
      <c r="Z319" s="2"/>
    </row>
    <row r="320" spans="11:26" x14ac:dyDescent="0.25">
      <c r="K320" s="2">
        <v>306</v>
      </c>
      <c r="L320" s="2">
        <f t="shared" si="12"/>
        <v>173.89817300825973</v>
      </c>
      <c r="M320" s="2">
        <f t="shared" si="14"/>
        <v>0.99999999989993182</v>
      </c>
      <c r="N320" s="2" t="str">
        <f t="shared" si="13"/>
        <v/>
      </c>
      <c r="S320" s="2"/>
      <c r="T320" s="2"/>
      <c r="U320" s="2"/>
      <c r="V320" s="2"/>
      <c r="W320" s="2"/>
      <c r="X320" s="2"/>
      <c r="Y320" s="2"/>
      <c r="Z320" s="2"/>
    </row>
    <row r="321" spans="11:26" x14ac:dyDescent="0.25">
      <c r="K321" s="2">
        <v>307</v>
      </c>
      <c r="L321" s="2">
        <f t="shared" si="12"/>
        <v>174.43141700424039</v>
      </c>
      <c r="M321" s="2">
        <f t="shared" si="14"/>
        <v>0.99999999990779564</v>
      </c>
      <c r="N321" s="2" t="str">
        <f t="shared" si="13"/>
        <v/>
      </c>
      <c r="S321" s="2"/>
      <c r="T321" s="2"/>
      <c r="U321" s="2"/>
      <c r="V321" s="2"/>
      <c r="W321" s="2"/>
      <c r="X321" s="2"/>
      <c r="Y321" s="2"/>
      <c r="Z321" s="2"/>
    </row>
    <row r="322" spans="11:26" x14ac:dyDescent="0.25">
      <c r="K322" s="2">
        <v>308</v>
      </c>
      <c r="L322" s="2">
        <f t="shared" si="12"/>
        <v>174.96460681392244</v>
      </c>
      <c r="M322" s="2">
        <f t="shared" si="14"/>
        <v>0.99999999991504329</v>
      </c>
      <c r="N322" s="2" t="str">
        <f t="shared" si="13"/>
        <v/>
      </c>
      <c r="S322" s="2"/>
      <c r="T322" s="2"/>
      <c r="U322" s="2"/>
      <c r="V322" s="2"/>
      <c r="W322" s="2"/>
      <c r="X322" s="2"/>
      <c r="Y322" s="2"/>
      <c r="Z322" s="2"/>
    </row>
    <row r="323" spans="11:26" x14ac:dyDescent="0.25">
      <c r="K323" s="2">
        <v>309</v>
      </c>
      <c r="L323" s="2">
        <f t="shared" si="12"/>
        <v>175.49774270141322</v>
      </c>
      <c r="M323" s="2">
        <f t="shared" si="14"/>
        <v>0.99999999992172284</v>
      </c>
      <c r="N323" s="2" t="str">
        <f t="shared" si="13"/>
        <v/>
      </c>
      <c r="S323" s="2"/>
      <c r="T323" s="2"/>
      <c r="U323" s="2"/>
      <c r="V323" s="2"/>
      <c r="W323" s="2"/>
      <c r="X323" s="2"/>
      <c r="Y323" s="2"/>
      <c r="Z323" s="2"/>
    </row>
    <row r="324" spans="11:26" x14ac:dyDescent="0.25">
      <c r="K324" s="2">
        <v>310</v>
      </c>
      <c r="L324" s="2">
        <f t="shared" si="12"/>
        <v>176.03082492868148</v>
      </c>
      <c r="M324" s="2">
        <f t="shared" si="14"/>
        <v>0.99999999992787858</v>
      </c>
      <c r="N324" s="2" t="str">
        <f t="shared" si="13"/>
        <v/>
      </c>
      <c r="S324" s="2"/>
      <c r="T324" s="2"/>
      <c r="U324" s="2"/>
      <c r="V324" s="2"/>
      <c r="W324" s="2"/>
      <c r="X324" s="2"/>
      <c r="Y324" s="2"/>
      <c r="Z324" s="2"/>
    </row>
    <row r="325" spans="11:26" x14ac:dyDescent="0.25">
      <c r="K325" s="2">
        <v>311</v>
      </c>
      <c r="L325" s="2">
        <f t="shared" si="12"/>
        <v>176.56385375558165</v>
      </c>
      <c r="M325" s="2">
        <f t="shared" si="14"/>
        <v>0.9999999999335516</v>
      </c>
      <c r="N325" s="2" t="str">
        <f t="shared" si="13"/>
        <v/>
      </c>
      <c r="S325" s="2"/>
      <c r="T325" s="2"/>
      <c r="U325" s="2"/>
      <c r="V325" s="2"/>
      <c r="W325" s="2"/>
      <c r="X325" s="2"/>
      <c r="Y325" s="2"/>
      <c r="Z325" s="2"/>
    </row>
    <row r="326" spans="11:26" x14ac:dyDescent="0.25">
      <c r="K326" s="2">
        <v>312</v>
      </c>
      <c r="L326" s="2">
        <f t="shared" si="12"/>
        <v>177.09682943987755</v>
      </c>
      <c r="M326" s="2">
        <f t="shared" si="14"/>
        <v>0.99999999993877975</v>
      </c>
      <c r="N326" s="2" t="str">
        <f t="shared" si="13"/>
        <v/>
      </c>
      <c r="S326" s="2"/>
      <c r="T326" s="2"/>
      <c r="U326" s="2"/>
      <c r="V326" s="2"/>
      <c r="W326" s="2"/>
      <c r="X326" s="2"/>
      <c r="Y326" s="2"/>
      <c r="Z326" s="2"/>
    </row>
    <row r="327" spans="11:26" x14ac:dyDescent="0.25">
      <c r="K327" s="2">
        <v>313</v>
      </c>
      <c r="L327" s="2">
        <f t="shared" si="12"/>
        <v>177.62975223726596</v>
      </c>
      <c r="M327" s="2">
        <f t="shared" si="14"/>
        <v>0.99999999994359756</v>
      </c>
      <c r="N327" s="2" t="str">
        <f t="shared" si="13"/>
        <v/>
      </c>
      <c r="S327" s="2"/>
      <c r="T327" s="2"/>
      <c r="U327" s="2"/>
      <c r="V327" s="2"/>
      <c r="W327" s="2"/>
      <c r="X327" s="2"/>
      <c r="Y327" s="2"/>
      <c r="Z327" s="2"/>
    </row>
    <row r="328" spans="11:26" x14ac:dyDescent="0.25">
      <c r="K328" s="2">
        <v>314</v>
      </c>
      <c r="L328" s="2">
        <f t="shared" si="12"/>
        <v>178.16262240139972</v>
      </c>
      <c r="M328" s="2">
        <f t="shared" si="14"/>
        <v>0.99999999994803734</v>
      </c>
      <c r="N328" s="2" t="str">
        <f t="shared" si="13"/>
        <v/>
      </c>
      <c r="S328" s="2"/>
      <c r="T328" s="2"/>
      <c r="U328" s="2"/>
      <c r="V328" s="2"/>
      <c r="W328" s="2"/>
      <c r="X328" s="2"/>
      <c r="Y328" s="2"/>
      <c r="Z328" s="2"/>
    </row>
    <row r="329" spans="11:26" x14ac:dyDescent="0.25">
      <c r="K329" s="2">
        <v>315</v>
      </c>
      <c r="L329" s="2">
        <f t="shared" si="12"/>
        <v>178.69544018391045</v>
      </c>
      <c r="M329" s="2">
        <f t="shared" si="14"/>
        <v>0.99999999995212852</v>
      </c>
      <c r="N329" s="2" t="str">
        <f t="shared" si="13"/>
        <v/>
      </c>
      <c r="S329" s="2"/>
      <c r="T329" s="2"/>
      <c r="U329" s="2"/>
      <c r="V329" s="2"/>
      <c r="W329" s="2"/>
      <c r="X329" s="2"/>
      <c r="Y329" s="2"/>
      <c r="Z329" s="2"/>
    </row>
    <row r="330" spans="11:26" x14ac:dyDescent="0.25">
      <c r="K330" s="2">
        <v>316</v>
      </c>
      <c r="L330" s="2">
        <f t="shared" si="12"/>
        <v>179.22820583443112</v>
      </c>
      <c r="M330" s="2">
        <f t="shared" si="14"/>
        <v>0.99999999995589861</v>
      </c>
      <c r="N330" s="2" t="str">
        <f t="shared" si="13"/>
        <v/>
      </c>
      <c r="S330" s="2"/>
      <c r="T330" s="2"/>
      <c r="U330" s="2"/>
      <c r="V330" s="2"/>
      <c r="W330" s="2"/>
      <c r="X330" s="2"/>
      <c r="Y330" s="2"/>
      <c r="Z330" s="2"/>
    </row>
    <row r="331" spans="11:26" x14ac:dyDescent="0.25">
      <c r="K331" s="2">
        <v>317</v>
      </c>
      <c r="L331" s="2">
        <f t="shared" si="12"/>
        <v>179.76091960061828</v>
      </c>
      <c r="M331" s="2">
        <f t="shared" si="14"/>
        <v>0.9999999999593725</v>
      </c>
      <c r="N331" s="2" t="str">
        <f t="shared" si="13"/>
        <v/>
      </c>
      <c r="S331" s="2"/>
      <c r="T331" s="2"/>
      <c r="U331" s="2"/>
      <c r="V331" s="2"/>
      <c r="W331" s="2"/>
      <c r="X331" s="2"/>
      <c r="Y331" s="2"/>
      <c r="Z331" s="2"/>
    </row>
    <row r="332" spans="11:26" x14ac:dyDescent="0.25">
      <c r="K332" s="2">
        <v>318</v>
      </c>
      <c r="L332" s="2">
        <f t="shared" si="12"/>
        <v>180.29358172817362</v>
      </c>
      <c r="M332" s="2">
        <f t="shared" si="14"/>
        <v>0.99999999996257349</v>
      </c>
      <c r="N332" s="2" t="str">
        <f t="shared" si="13"/>
        <v/>
      </c>
      <c r="S332" s="2"/>
      <c r="T332" s="2"/>
      <c r="U332" s="2"/>
      <c r="V332" s="2"/>
      <c r="W332" s="2"/>
      <c r="X332" s="2"/>
      <c r="Y332" s="2"/>
      <c r="Z332" s="2"/>
    </row>
    <row r="333" spans="11:26" x14ac:dyDescent="0.25">
      <c r="K333" s="2">
        <v>319</v>
      </c>
      <c r="L333" s="2">
        <f t="shared" si="12"/>
        <v>180.82619246086585</v>
      </c>
      <c r="M333" s="2">
        <f t="shared" si="14"/>
        <v>0.99999999996552291</v>
      </c>
      <c r="N333" s="2" t="str">
        <f t="shared" si="13"/>
        <v/>
      </c>
      <c r="S333" s="2"/>
      <c r="T333" s="2"/>
      <c r="U333" s="2"/>
      <c r="V333" s="2"/>
      <c r="W333" s="2"/>
      <c r="X333" s="2"/>
      <c r="Y333" s="2"/>
      <c r="Z333" s="2"/>
    </row>
    <row r="334" spans="11:26" x14ac:dyDescent="0.25">
      <c r="K334" s="2">
        <v>320</v>
      </c>
      <c r="L334" s="2">
        <f t="shared" si="12"/>
        <v>181.35875204055168</v>
      </c>
      <c r="M334" s="2">
        <f t="shared" si="14"/>
        <v>0.99999999996824063</v>
      </c>
      <c r="N334" s="2" t="str">
        <f t="shared" si="13"/>
        <v/>
      </c>
      <c r="S334" s="2"/>
      <c r="T334" s="2"/>
      <c r="U334" s="2"/>
      <c r="V334" s="2"/>
      <c r="W334" s="2"/>
      <c r="X334" s="2"/>
      <c r="Y334" s="2"/>
      <c r="Z334" s="2"/>
    </row>
    <row r="335" spans="11:26" x14ac:dyDescent="0.25">
      <c r="K335" s="2">
        <v>321</v>
      </c>
      <c r="L335" s="2">
        <f t="shared" si="12"/>
        <v>181.89126070719681</v>
      </c>
      <c r="M335" s="2">
        <f t="shared" si="14"/>
        <v>0.99999999997074462</v>
      </c>
      <c r="N335" s="2" t="str">
        <f t="shared" si="13"/>
        <v/>
      </c>
      <c r="S335" s="2"/>
      <c r="T335" s="2"/>
      <c r="U335" s="2"/>
      <c r="V335" s="2"/>
      <c r="W335" s="2"/>
      <c r="X335" s="2"/>
      <c r="Y335" s="2"/>
      <c r="Z335" s="2"/>
    </row>
    <row r="336" spans="11:26" x14ac:dyDescent="0.25">
      <c r="K336" s="2">
        <v>322</v>
      </c>
      <c r="L336" s="2">
        <f t="shared" ref="L336:L399" si="15">CHIINV($C$7,K336)/$J$15</f>
        <v>182.42371869889661</v>
      </c>
      <c r="M336" s="2">
        <f t="shared" si="14"/>
        <v>0.99999999997305178</v>
      </c>
      <c r="N336" s="2" t="str">
        <f t="shared" ref="N336:N399" si="16">IF(M336&lt;$C$11,K336,"")</f>
        <v/>
      </c>
      <c r="S336" s="2"/>
      <c r="T336" s="2"/>
      <c r="U336" s="2"/>
      <c r="V336" s="2"/>
      <c r="W336" s="2"/>
      <c r="X336" s="2"/>
      <c r="Y336" s="2"/>
      <c r="Z336" s="2"/>
    </row>
    <row r="337" spans="11:26" x14ac:dyDescent="0.25">
      <c r="K337" s="2">
        <v>323</v>
      </c>
      <c r="L337" s="2">
        <f t="shared" si="15"/>
        <v>182.95612625189645</v>
      </c>
      <c r="M337" s="2">
        <f t="shared" si="14"/>
        <v>0.99999999997517741</v>
      </c>
      <c r="N337" s="2" t="str">
        <f t="shared" si="16"/>
        <v/>
      </c>
      <c r="S337" s="2"/>
      <c r="T337" s="2"/>
      <c r="U337" s="2"/>
      <c r="V337" s="2"/>
      <c r="W337" s="2"/>
      <c r="X337" s="2"/>
      <c r="Y337" s="2"/>
      <c r="Z337" s="2"/>
    </row>
    <row r="338" spans="11:26" x14ac:dyDescent="0.25">
      <c r="K338" s="2">
        <v>324</v>
      </c>
      <c r="L338" s="2">
        <f t="shared" si="15"/>
        <v>183.48848360061174</v>
      </c>
      <c r="M338" s="2">
        <f t="shared" si="14"/>
        <v>0.99999999997713584</v>
      </c>
      <c r="N338" s="2" t="str">
        <f t="shared" si="16"/>
        <v/>
      </c>
      <c r="S338" s="2"/>
      <c r="T338" s="2"/>
      <c r="U338" s="2"/>
      <c r="V338" s="2"/>
      <c r="W338" s="2"/>
      <c r="X338" s="2"/>
      <c r="Y338" s="2"/>
      <c r="Z338" s="2"/>
    </row>
    <row r="339" spans="11:26" x14ac:dyDescent="0.25">
      <c r="K339" s="2">
        <v>325</v>
      </c>
      <c r="L339" s="2">
        <f t="shared" si="15"/>
        <v>184.02079097764769</v>
      </c>
      <c r="M339" s="2">
        <f t="shared" si="14"/>
        <v>0.99999999997894018</v>
      </c>
      <c r="N339" s="2" t="str">
        <f t="shared" si="16"/>
        <v/>
      </c>
      <c r="S339" s="2"/>
      <c r="T339" s="2"/>
      <c r="U339" s="2"/>
      <c r="V339" s="2"/>
      <c r="W339" s="2"/>
      <c r="X339" s="2"/>
      <c r="Y339" s="2"/>
      <c r="Z339" s="2"/>
    </row>
    <row r="340" spans="11:26" x14ac:dyDescent="0.25">
      <c r="K340" s="2">
        <v>326</v>
      </c>
      <c r="L340" s="2">
        <f t="shared" si="15"/>
        <v>184.55304861381893</v>
      </c>
      <c r="M340" s="2">
        <f t="shared" ref="M340:M403" si="17">CHIDIST(L340,K340)</f>
        <v>0.99999999998060241</v>
      </c>
      <c r="N340" s="2" t="str">
        <f t="shared" si="16"/>
        <v/>
      </c>
      <c r="S340" s="2"/>
      <c r="T340" s="2"/>
      <c r="U340" s="2"/>
      <c r="V340" s="2"/>
      <c r="W340" s="2"/>
      <c r="X340" s="2"/>
      <c r="Y340" s="2"/>
      <c r="Z340" s="2"/>
    </row>
    <row r="341" spans="11:26" x14ac:dyDescent="0.25">
      <c r="K341" s="2">
        <v>327</v>
      </c>
      <c r="L341" s="2">
        <f t="shared" si="15"/>
        <v>185.08525673816857</v>
      </c>
      <c r="M341" s="2">
        <f t="shared" si="17"/>
        <v>0.99999999998213385</v>
      </c>
      <c r="N341" s="2" t="str">
        <f t="shared" si="16"/>
        <v/>
      </c>
      <c r="S341" s="2"/>
      <c r="T341" s="2"/>
      <c r="U341" s="2"/>
      <c r="V341" s="2"/>
      <c r="W341" s="2"/>
      <c r="X341" s="2"/>
      <c r="Y341" s="2"/>
      <c r="Z341" s="2"/>
    </row>
    <row r="342" spans="11:26" x14ac:dyDescent="0.25">
      <c r="K342" s="2">
        <v>328</v>
      </c>
      <c r="L342" s="2">
        <f t="shared" si="15"/>
        <v>185.61741557798737</v>
      </c>
      <c r="M342" s="2">
        <f t="shared" si="17"/>
        <v>0.99999999998354472</v>
      </c>
      <c r="N342" s="2" t="str">
        <f t="shared" si="16"/>
        <v/>
      </c>
      <c r="S342" s="2"/>
      <c r="T342" s="2"/>
      <c r="U342" s="2"/>
      <c r="V342" s="2"/>
      <c r="W342" s="2"/>
      <c r="X342" s="2"/>
      <c r="Y342" s="2"/>
      <c r="Z342" s="2"/>
    </row>
    <row r="343" spans="11:26" x14ac:dyDescent="0.25">
      <c r="K343" s="2">
        <v>329</v>
      </c>
      <c r="L343" s="2">
        <f t="shared" si="15"/>
        <v>186.14952535883231</v>
      </c>
      <c r="M343" s="2">
        <f t="shared" si="17"/>
        <v>0.99999999998484435</v>
      </c>
      <c r="N343" s="2" t="str">
        <f t="shared" si="16"/>
        <v/>
      </c>
      <c r="S343" s="2"/>
      <c r="T343" s="2"/>
      <c r="U343" s="2"/>
      <c r="V343" s="2"/>
      <c r="W343" s="2"/>
      <c r="X343" s="2"/>
      <c r="Y343" s="2"/>
      <c r="Z343" s="2"/>
    </row>
    <row r="344" spans="11:26" x14ac:dyDescent="0.25">
      <c r="K344" s="2">
        <v>330</v>
      </c>
      <c r="L344" s="2">
        <f t="shared" si="15"/>
        <v>186.68158630454511</v>
      </c>
      <c r="M344" s="2">
        <f t="shared" si="17"/>
        <v>0.99999999998604161</v>
      </c>
      <c r="N344" s="2" t="str">
        <f t="shared" si="16"/>
        <v/>
      </c>
      <c r="S344" s="2"/>
      <c r="T344" s="2"/>
      <c r="U344" s="2"/>
      <c r="V344" s="2"/>
      <c r="W344" s="2"/>
      <c r="X344" s="2"/>
      <c r="Y344" s="2"/>
      <c r="Z344" s="2"/>
    </row>
    <row r="345" spans="11:26" x14ac:dyDescent="0.25">
      <c r="K345" s="2">
        <v>331</v>
      </c>
      <c r="L345" s="2">
        <f t="shared" si="15"/>
        <v>187.21359863727045</v>
      </c>
      <c r="M345" s="2">
        <f t="shared" si="17"/>
        <v>0.99999999998714473</v>
      </c>
      <c r="N345" s="2" t="str">
        <f t="shared" si="16"/>
        <v/>
      </c>
      <c r="S345" s="2"/>
      <c r="T345" s="2"/>
      <c r="U345" s="2"/>
      <c r="V345" s="2"/>
      <c r="W345" s="2"/>
      <c r="X345" s="2"/>
      <c r="Y345" s="2"/>
      <c r="Z345" s="2"/>
    </row>
    <row r="346" spans="11:26" x14ac:dyDescent="0.25">
      <c r="K346" s="2">
        <v>332</v>
      </c>
      <c r="L346" s="2">
        <f t="shared" si="15"/>
        <v>187.74556257747389</v>
      </c>
      <c r="M346" s="2">
        <f t="shared" si="17"/>
        <v>0.99999999998816069</v>
      </c>
      <c r="N346" s="2" t="str">
        <f t="shared" si="16"/>
        <v/>
      </c>
      <c r="S346" s="2"/>
      <c r="T346" s="2"/>
      <c r="U346" s="2"/>
      <c r="V346" s="2"/>
      <c r="W346" s="2"/>
      <c r="X346" s="2"/>
      <c r="Y346" s="2"/>
      <c r="Z346" s="2"/>
    </row>
    <row r="347" spans="11:26" x14ac:dyDescent="0.25">
      <c r="K347" s="2">
        <v>333</v>
      </c>
      <c r="L347" s="2">
        <f t="shared" si="15"/>
        <v>188.27747834395956</v>
      </c>
      <c r="M347" s="2">
        <f t="shared" si="17"/>
        <v>0.99999999998909661</v>
      </c>
      <c r="N347" s="2" t="str">
        <f t="shared" si="16"/>
        <v/>
      </c>
      <c r="S347" s="2"/>
      <c r="T347" s="2"/>
      <c r="U347" s="2"/>
      <c r="V347" s="2"/>
      <c r="W347" s="2"/>
      <c r="X347" s="2"/>
      <c r="Y347" s="2"/>
      <c r="Z347" s="2"/>
    </row>
    <row r="348" spans="11:26" x14ac:dyDescent="0.25">
      <c r="K348" s="2">
        <v>334</v>
      </c>
      <c r="L348" s="2">
        <f t="shared" si="15"/>
        <v>188.80934615388773</v>
      </c>
      <c r="M348" s="2">
        <f t="shared" si="17"/>
        <v>0.9999999999899587</v>
      </c>
      <c r="N348" s="2" t="str">
        <f t="shared" si="16"/>
        <v/>
      </c>
      <c r="S348" s="2"/>
      <c r="T348" s="2"/>
      <c r="U348" s="2"/>
      <c r="V348" s="2"/>
      <c r="W348" s="2"/>
      <c r="X348" s="2"/>
      <c r="Y348" s="2"/>
      <c r="Z348" s="2"/>
    </row>
    <row r="349" spans="11:26" x14ac:dyDescent="0.25">
      <c r="K349" s="2">
        <v>335</v>
      </c>
      <c r="L349" s="2">
        <f t="shared" si="15"/>
        <v>189.341166222792</v>
      </c>
      <c r="M349" s="2">
        <f t="shared" si="17"/>
        <v>0.99999999999075295</v>
      </c>
      <c r="N349" s="2" t="str">
        <f t="shared" si="16"/>
        <v/>
      </c>
      <c r="S349" s="2"/>
      <c r="T349" s="2"/>
      <c r="U349" s="2"/>
      <c r="V349" s="2"/>
      <c r="W349" s="2"/>
      <c r="X349" s="2"/>
      <c r="Y349" s="2"/>
      <c r="Z349" s="2"/>
    </row>
    <row r="350" spans="11:26" x14ac:dyDescent="0.25">
      <c r="K350" s="2">
        <v>336</v>
      </c>
      <c r="L350" s="2">
        <f t="shared" si="15"/>
        <v>189.87293876459626</v>
      </c>
      <c r="M350" s="2">
        <f t="shared" si="17"/>
        <v>0.99999999999148437</v>
      </c>
      <c r="N350" s="2" t="str">
        <f t="shared" si="16"/>
        <v/>
      </c>
      <c r="S350" s="2"/>
      <c r="T350" s="2"/>
      <c r="U350" s="2"/>
      <c r="V350" s="2"/>
      <c r="W350" s="2"/>
      <c r="X350" s="2"/>
      <c r="Y350" s="2"/>
      <c r="Z350" s="2"/>
    </row>
    <row r="351" spans="11:26" x14ac:dyDescent="0.25">
      <c r="K351" s="2">
        <v>337</v>
      </c>
      <c r="L351" s="2">
        <f t="shared" si="15"/>
        <v>190.40466399163154</v>
      </c>
      <c r="M351" s="2">
        <f t="shared" si="17"/>
        <v>0.99999999999215805</v>
      </c>
      <c r="N351" s="2" t="str">
        <f t="shared" si="16"/>
        <v/>
      </c>
      <c r="S351" s="2"/>
      <c r="T351" s="2"/>
      <c r="U351" s="2"/>
      <c r="V351" s="2"/>
      <c r="W351" s="2"/>
      <c r="X351" s="2"/>
      <c r="Y351" s="2"/>
      <c r="Z351" s="2"/>
    </row>
    <row r="352" spans="11:26" x14ac:dyDescent="0.25">
      <c r="K352" s="2">
        <v>338</v>
      </c>
      <c r="L352" s="2">
        <f t="shared" si="15"/>
        <v>190.93634211465255</v>
      </c>
      <c r="M352" s="2">
        <f t="shared" si="17"/>
        <v>0.99999999999277867</v>
      </c>
      <c r="N352" s="2" t="str">
        <f t="shared" si="16"/>
        <v/>
      </c>
      <c r="S352" s="2"/>
      <c r="T352" s="2"/>
      <c r="U352" s="2"/>
      <c r="V352" s="2"/>
      <c r="W352" s="2"/>
      <c r="X352" s="2"/>
      <c r="Y352" s="2"/>
      <c r="Z352" s="2"/>
    </row>
    <row r="353" spans="11:26" x14ac:dyDescent="0.25">
      <c r="K353" s="2">
        <v>339</v>
      </c>
      <c r="L353" s="2">
        <f t="shared" si="15"/>
        <v>191.46797334285395</v>
      </c>
      <c r="M353" s="2">
        <f t="shared" si="17"/>
        <v>0.99999999999335032</v>
      </c>
      <c r="N353" s="2" t="str">
        <f t="shared" si="16"/>
        <v/>
      </c>
      <c r="S353" s="2"/>
      <c r="T353" s="2"/>
      <c r="U353" s="2"/>
      <c r="V353" s="2"/>
      <c r="W353" s="2"/>
      <c r="X353" s="2"/>
      <c r="Y353" s="2"/>
      <c r="Z353" s="2"/>
    </row>
    <row r="354" spans="11:26" x14ac:dyDescent="0.25">
      <c r="K354" s="2">
        <v>340</v>
      </c>
      <c r="L354" s="2">
        <f t="shared" si="15"/>
        <v>191.99955788388658</v>
      </c>
      <c r="M354" s="2">
        <f t="shared" si="17"/>
        <v>0.99999999999387668</v>
      </c>
      <c r="N354" s="2" t="str">
        <f t="shared" si="16"/>
        <v/>
      </c>
      <c r="S354" s="2"/>
      <c r="T354" s="2"/>
      <c r="U354" s="2"/>
      <c r="V354" s="2"/>
      <c r="W354" s="2"/>
      <c r="X354" s="2"/>
      <c r="Y354" s="2"/>
      <c r="Z354" s="2"/>
    </row>
    <row r="355" spans="11:26" x14ac:dyDescent="0.25">
      <c r="K355" s="2">
        <v>341</v>
      </c>
      <c r="L355" s="2">
        <f t="shared" si="15"/>
        <v>192.53109594387331</v>
      </c>
      <c r="M355" s="2">
        <f t="shared" si="17"/>
        <v>0.99999999999436162</v>
      </c>
      <c r="N355" s="2" t="str">
        <f t="shared" si="16"/>
        <v/>
      </c>
      <c r="S355" s="2"/>
      <c r="T355" s="2"/>
      <c r="U355" s="2"/>
      <c r="V355" s="2"/>
      <c r="W355" s="2"/>
      <c r="X355" s="2"/>
      <c r="Y355" s="2"/>
      <c r="Z355" s="2"/>
    </row>
    <row r="356" spans="11:26" x14ac:dyDescent="0.25">
      <c r="K356" s="2">
        <v>342</v>
      </c>
      <c r="L356" s="2">
        <f t="shared" si="15"/>
        <v>193.06258772742467</v>
      </c>
      <c r="M356" s="2">
        <f t="shared" si="17"/>
        <v>0.99999999999480815</v>
      </c>
      <c r="N356" s="2" t="str">
        <f t="shared" si="16"/>
        <v/>
      </c>
      <c r="S356" s="2"/>
      <c r="T356" s="2"/>
      <c r="U356" s="2"/>
      <c r="V356" s="2"/>
      <c r="W356" s="2"/>
      <c r="X356" s="2"/>
      <c r="Y356" s="2"/>
      <c r="Z356" s="2"/>
    </row>
    <row r="357" spans="11:26" x14ac:dyDescent="0.25">
      <c r="K357" s="2">
        <v>343</v>
      </c>
      <c r="L357" s="2">
        <f t="shared" si="15"/>
        <v>193.59403343765447</v>
      </c>
      <c r="M357" s="2">
        <f t="shared" si="17"/>
        <v>0.99999999999521949</v>
      </c>
      <c r="N357" s="2" t="str">
        <f t="shared" si="16"/>
        <v/>
      </c>
      <c r="S357" s="2"/>
      <c r="T357" s="2"/>
      <c r="U357" s="2"/>
      <c r="V357" s="2"/>
      <c r="W357" s="2"/>
      <c r="X357" s="2"/>
      <c r="Y357" s="2"/>
      <c r="Z357" s="2"/>
    </row>
    <row r="358" spans="11:26" x14ac:dyDescent="0.25">
      <c r="K358" s="2">
        <v>344</v>
      </c>
      <c r="L358" s="2">
        <f t="shared" si="15"/>
        <v>194.125433276195</v>
      </c>
      <c r="M358" s="2">
        <f t="shared" si="17"/>
        <v>0.9999999999955983</v>
      </c>
      <c r="N358" s="2" t="str">
        <f t="shared" si="16"/>
        <v/>
      </c>
      <c r="S358" s="2"/>
      <c r="T358" s="2"/>
      <c r="U358" s="2"/>
      <c r="V358" s="2"/>
      <c r="W358" s="2"/>
      <c r="X358" s="2"/>
      <c r="Y358" s="2"/>
      <c r="Z358" s="2"/>
    </row>
    <row r="359" spans="11:26" x14ac:dyDescent="0.25">
      <c r="K359" s="2">
        <v>345</v>
      </c>
      <c r="L359" s="2">
        <f t="shared" si="15"/>
        <v>194.65678744321204</v>
      </c>
      <c r="M359" s="2">
        <f t="shared" si="17"/>
        <v>0.99999999999594713</v>
      </c>
      <c r="N359" s="2" t="str">
        <f t="shared" si="16"/>
        <v/>
      </c>
      <c r="S359" s="2"/>
      <c r="T359" s="2"/>
      <c r="U359" s="2"/>
      <c r="V359" s="2"/>
      <c r="W359" s="2"/>
      <c r="X359" s="2"/>
      <c r="Y359" s="2"/>
      <c r="Z359" s="2"/>
    </row>
    <row r="360" spans="11:26" x14ac:dyDescent="0.25">
      <c r="K360" s="2">
        <v>346</v>
      </c>
      <c r="L360" s="2">
        <f t="shared" si="15"/>
        <v>195.18809613741999</v>
      </c>
      <c r="M360" s="2">
        <f t="shared" si="17"/>
        <v>0.99999999999626843</v>
      </c>
      <c r="N360" s="2" t="str">
        <f t="shared" si="16"/>
        <v/>
      </c>
      <c r="S360" s="2"/>
      <c r="T360" s="2"/>
      <c r="U360" s="2"/>
      <c r="V360" s="2"/>
      <c r="W360" s="2"/>
      <c r="X360" s="2"/>
      <c r="Y360" s="2"/>
      <c r="Z360" s="2"/>
    </row>
    <row r="361" spans="11:26" x14ac:dyDescent="0.25">
      <c r="K361" s="2">
        <v>347</v>
      </c>
      <c r="L361" s="2">
        <f t="shared" si="15"/>
        <v>195.71935955609632</v>
      </c>
      <c r="M361" s="2">
        <f t="shared" si="17"/>
        <v>0.9999999999965643</v>
      </c>
      <c r="N361" s="2" t="str">
        <f t="shared" si="16"/>
        <v/>
      </c>
      <c r="S361" s="2"/>
      <c r="T361" s="2"/>
      <c r="U361" s="2"/>
      <c r="V361" s="2"/>
      <c r="W361" s="2"/>
      <c r="X361" s="2"/>
      <c r="Y361" s="2"/>
      <c r="Z361" s="2"/>
    </row>
    <row r="362" spans="11:26" x14ac:dyDescent="0.25">
      <c r="K362" s="2">
        <v>348</v>
      </c>
      <c r="L362" s="2">
        <f t="shared" si="15"/>
        <v>196.25057789509614</v>
      </c>
      <c r="M362" s="2">
        <f t="shared" si="17"/>
        <v>0.99999999999683675</v>
      </c>
      <c r="N362" s="2" t="str">
        <f t="shared" si="16"/>
        <v/>
      </c>
      <c r="S362" s="2"/>
      <c r="T362" s="2"/>
      <c r="U362" s="2"/>
      <c r="V362" s="2"/>
      <c r="W362" s="2"/>
      <c r="X362" s="2"/>
      <c r="Y362" s="2"/>
      <c r="Z362" s="2"/>
    </row>
    <row r="363" spans="11:26" x14ac:dyDescent="0.25">
      <c r="K363" s="2">
        <v>349</v>
      </c>
      <c r="L363" s="2">
        <f t="shared" si="15"/>
        <v>196.78175134886661</v>
      </c>
      <c r="M363" s="2">
        <f t="shared" si="17"/>
        <v>0.99999999999708766</v>
      </c>
      <c r="N363" s="2" t="str">
        <f t="shared" si="16"/>
        <v/>
      </c>
      <c r="S363" s="2"/>
      <c r="T363" s="2"/>
      <c r="U363" s="2"/>
      <c r="V363" s="2"/>
      <c r="W363" s="2"/>
      <c r="X363" s="2"/>
      <c r="Y363" s="2"/>
      <c r="Z363" s="2"/>
    </row>
    <row r="364" spans="11:26" x14ac:dyDescent="0.25">
      <c r="K364" s="2">
        <v>350</v>
      </c>
      <c r="L364" s="2">
        <f t="shared" si="15"/>
        <v>197.31288011046092</v>
      </c>
      <c r="M364" s="2">
        <f t="shared" si="17"/>
        <v>0.9999999999973187</v>
      </c>
      <c r="N364" s="2" t="str">
        <f t="shared" si="16"/>
        <v/>
      </c>
      <c r="S364" s="2"/>
      <c r="T364" s="2"/>
      <c r="U364" s="2"/>
      <c r="V364" s="2"/>
      <c r="W364" s="2"/>
      <c r="X364" s="2"/>
      <c r="Y364" s="2"/>
      <c r="Z364" s="2"/>
    </row>
    <row r="365" spans="11:26" x14ac:dyDescent="0.25">
      <c r="K365" s="2">
        <v>351</v>
      </c>
      <c r="L365" s="2">
        <f t="shared" si="15"/>
        <v>197.84396437155243</v>
      </c>
      <c r="M365" s="2">
        <f t="shared" si="17"/>
        <v>0.99999999999753142</v>
      </c>
      <c r="N365" s="2" t="str">
        <f t="shared" si="16"/>
        <v/>
      </c>
      <c r="S365" s="2"/>
      <c r="T365" s="2"/>
      <c r="U365" s="2"/>
      <c r="V365" s="2"/>
      <c r="W365" s="2"/>
      <c r="X365" s="2"/>
      <c r="Y365" s="2"/>
      <c r="Z365" s="2"/>
    </row>
    <row r="366" spans="11:26" x14ac:dyDescent="0.25">
      <c r="K366" s="2">
        <v>352</v>
      </c>
      <c r="L366" s="2">
        <f t="shared" si="15"/>
        <v>198.37500432244826</v>
      </c>
      <c r="M366" s="2">
        <f t="shared" si="17"/>
        <v>0.99999999999772737</v>
      </c>
      <c r="N366" s="2" t="str">
        <f t="shared" si="16"/>
        <v/>
      </c>
      <c r="S366" s="2"/>
      <c r="T366" s="2"/>
      <c r="U366" s="2"/>
      <c r="V366" s="2"/>
      <c r="W366" s="2"/>
      <c r="X366" s="2"/>
      <c r="Y366" s="2"/>
      <c r="Z366" s="2"/>
    </row>
    <row r="367" spans="11:26" x14ac:dyDescent="0.25">
      <c r="K367" s="2">
        <v>353</v>
      </c>
      <c r="L367" s="2">
        <f t="shared" si="15"/>
        <v>198.90600015210291</v>
      </c>
      <c r="M367" s="2">
        <f t="shared" si="17"/>
        <v>0.99999999999790767</v>
      </c>
      <c r="N367" s="2" t="str">
        <f t="shared" si="16"/>
        <v/>
      </c>
      <c r="S367" s="2"/>
      <c r="T367" s="2"/>
      <c r="U367" s="2"/>
      <c r="V367" s="2"/>
      <c r="W367" s="2"/>
      <c r="X367" s="2"/>
      <c r="Y367" s="2"/>
      <c r="Z367" s="2"/>
    </row>
    <row r="368" spans="11:26" x14ac:dyDescent="0.25">
      <c r="K368" s="2">
        <v>354</v>
      </c>
      <c r="L368" s="2">
        <f t="shared" si="15"/>
        <v>199.43695204813181</v>
      </c>
      <c r="M368" s="2">
        <f t="shared" si="17"/>
        <v>0.99999999999807387</v>
      </c>
      <c r="N368" s="2" t="str">
        <f t="shared" si="16"/>
        <v/>
      </c>
      <c r="S368" s="2"/>
      <c r="T368" s="2"/>
      <c r="U368" s="2"/>
      <c r="V368" s="2"/>
      <c r="W368" s="2"/>
      <c r="X368" s="2"/>
      <c r="Y368" s="2"/>
      <c r="Z368" s="2"/>
    </row>
    <row r="369" spans="11:26" x14ac:dyDescent="0.25">
      <c r="K369" s="2">
        <v>355</v>
      </c>
      <c r="L369" s="2">
        <f t="shared" si="15"/>
        <v>199.96786019682443</v>
      </c>
      <c r="M369" s="2">
        <f t="shared" si="17"/>
        <v>0.99999999999822675</v>
      </c>
      <c r="N369" s="2" t="str">
        <f t="shared" si="16"/>
        <v/>
      </c>
      <c r="S369" s="2"/>
      <c r="T369" s="2"/>
      <c r="U369" s="2"/>
      <c r="V369" s="2"/>
      <c r="W369" s="2"/>
      <c r="X369" s="2"/>
      <c r="Y369" s="2"/>
      <c r="Z369" s="2"/>
    </row>
    <row r="370" spans="11:26" x14ac:dyDescent="0.25">
      <c r="K370" s="2">
        <v>356</v>
      </c>
      <c r="L370" s="2">
        <f t="shared" si="15"/>
        <v>200.49872478315743</v>
      </c>
      <c r="M370" s="2">
        <f t="shared" si="17"/>
        <v>0.99999999999836775</v>
      </c>
      <c r="N370" s="2" t="str">
        <f t="shared" si="16"/>
        <v/>
      </c>
      <c r="S370" s="2"/>
      <c r="T370" s="2"/>
      <c r="U370" s="2"/>
      <c r="V370" s="2"/>
      <c r="W370" s="2"/>
      <c r="X370" s="2"/>
      <c r="Y370" s="2"/>
      <c r="Z370" s="2"/>
    </row>
    <row r="371" spans="11:26" x14ac:dyDescent="0.25">
      <c r="K371" s="2">
        <v>357</v>
      </c>
      <c r="L371" s="2">
        <f t="shared" si="15"/>
        <v>201.02954599080761</v>
      </c>
      <c r="M371" s="2">
        <f t="shared" si="17"/>
        <v>0.99999999999849742</v>
      </c>
      <c r="N371" s="2" t="str">
        <f t="shared" si="16"/>
        <v/>
      </c>
      <c r="S371" s="2"/>
      <c r="T371" s="2"/>
      <c r="U371" s="2"/>
      <c r="V371" s="2"/>
      <c r="W371" s="2"/>
      <c r="X371" s="2"/>
      <c r="Y371" s="2"/>
      <c r="Z371" s="2"/>
    </row>
    <row r="372" spans="11:26" x14ac:dyDescent="0.25">
      <c r="K372" s="2">
        <v>358</v>
      </c>
      <c r="L372" s="2">
        <f t="shared" si="15"/>
        <v>201.56032400216452</v>
      </c>
      <c r="M372" s="2">
        <f t="shared" si="17"/>
        <v>0.99999999999861677</v>
      </c>
      <c r="N372" s="2" t="str">
        <f t="shared" si="16"/>
        <v/>
      </c>
      <c r="S372" s="2"/>
      <c r="T372" s="2"/>
      <c r="U372" s="2"/>
      <c r="V372" s="2"/>
      <c r="W372" s="2"/>
      <c r="X372" s="2"/>
      <c r="Y372" s="2"/>
      <c r="Z372" s="2"/>
    </row>
    <row r="373" spans="11:26" x14ac:dyDescent="0.25">
      <c r="K373" s="2">
        <v>359</v>
      </c>
      <c r="L373" s="2">
        <f t="shared" si="15"/>
        <v>202.09105899834321</v>
      </c>
      <c r="M373" s="2">
        <f t="shared" si="17"/>
        <v>0.99999999999872669</v>
      </c>
      <c r="N373" s="2" t="str">
        <f t="shared" si="16"/>
        <v/>
      </c>
      <c r="S373" s="2"/>
      <c r="T373" s="2"/>
      <c r="U373" s="2"/>
      <c r="V373" s="2"/>
      <c r="W373" s="2"/>
      <c r="X373" s="2"/>
      <c r="Y373" s="2"/>
      <c r="Z373" s="2"/>
    </row>
    <row r="374" spans="11:26" x14ac:dyDescent="0.25">
      <c r="K374" s="2">
        <v>360</v>
      </c>
      <c r="L374" s="2">
        <f t="shared" si="15"/>
        <v>202.62175115919658</v>
      </c>
      <c r="M374" s="2">
        <f t="shared" si="17"/>
        <v>0.99999999999882783</v>
      </c>
      <c r="N374" s="2" t="str">
        <f t="shared" si="16"/>
        <v/>
      </c>
      <c r="S374" s="2"/>
      <c r="T374" s="2"/>
      <c r="U374" s="2"/>
      <c r="V374" s="2"/>
      <c r="W374" s="2"/>
      <c r="X374" s="2"/>
      <c r="Y374" s="2"/>
      <c r="Z374" s="2"/>
    </row>
    <row r="375" spans="11:26" x14ac:dyDescent="0.25">
      <c r="K375" s="2">
        <v>361</v>
      </c>
      <c r="L375" s="2">
        <f t="shared" si="15"/>
        <v>203.15240066332771</v>
      </c>
      <c r="M375" s="2">
        <f t="shared" si="17"/>
        <v>0.99999999999892109</v>
      </c>
      <c r="N375" s="2" t="str">
        <f t="shared" si="16"/>
        <v/>
      </c>
      <c r="S375" s="2"/>
      <c r="T375" s="2"/>
      <c r="U375" s="2"/>
      <c r="V375" s="2"/>
      <c r="W375" s="2"/>
      <c r="X375" s="2"/>
      <c r="Y375" s="2"/>
      <c r="Z375" s="2"/>
    </row>
    <row r="376" spans="11:26" x14ac:dyDescent="0.25">
      <c r="K376" s="2">
        <v>362</v>
      </c>
      <c r="L376" s="2">
        <f t="shared" si="15"/>
        <v>203.68300768810192</v>
      </c>
      <c r="M376" s="2">
        <f t="shared" si="17"/>
        <v>0.99999999999900691</v>
      </c>
      <c r="N376" s="2" t="str">
        <f t="shared" si="16"/>
        <v/>
      </c>
      <c r="S376" s="2"/>
      <c r="T376" s="2"/>
      <c r="U376" s="2"/>
      <c r="V376" s="2"/>
      <c r="W376" s="2"/>
      <c r="X376" s="2"/>
      <c r="Y376" s="2"/>
      <c r="Z376" s="2"/>
    </row>
    <row r="377" spans="11:26" x14ac:dyDescent="0.25">
      <c r="K377" s="2">
        <v>363</v>
      </c>
      <c r="L377" s="2">
        <f t="shared" si="15"/>
        <v>204.21357240965884</v>
      </c>
      <c r="M377" s="2">
        <f t="shared" si="17"/>
        <v>0.99999999999908584</v>
      </c>
      <c r="N377" s="2" t="str">
        <f t="shared" si="16"/>
        <v/>
      </c>
      <c r="S377" s="2"/>
      <c r="T377" s="2"/>
      <c r="U377" s="2"/>
      <c r="V377" s="2"/>
      <c r="W377" s="2"/>
      <c r="X377" s="2"/>
      <c r="Y377" s="2"/>
      <c r="Z377" s="2"/>
    </row>
    <row r="378" spans="11:26" x14ac:dyDescent="0.25">
      <c r="K378" s="2">
        <v>364</v>
      </c>
      <c r="L378" s="2">
        <f t="shared" si="15"/>
        <v>204.74409500292407</v>
      </c>
      <c r="M378" s="2">
        <f t="shared" si="17"/>
        <v>0.99999999999915856</v>
      </c>
      <c r="N378" s="2" t="str">
        <f t="shared" si="16"/>
        <v/>
      </c>
      <c r="S378" s="2"/>
      <c r="T378" s="2"/>
      <c r="U378" s="2"/>
      <c r="V378" s="2"/>
      <c r="W378" s="2"/>
      <c r="X378" s="2"/>
      <c r="Y378" s="2"/>
      <c r="Z378" s="2"/>
    </row>
    <row r="379" spans="11:26" x14ac:dyDescent="0.25">
      <c r="K379" s="2">
        <v>365</v>
      </c>
      <c r="L379" s="2">
        <f t="shared" si="15"/>
        <v>205.27457564162111</v>
      </c>
      <c r="M379" s="2">
        <f t="shared" si="17"/>
        <v>0.99999999999922551</v>
      </c>
      <c r="N379" s="2" t="str">
        <f t="shared" si="16"/>
        <v/>
      </c>
      <c r="S379" s="2"/>
      <c r="T379" s="2"/>
      <c r="U379" s="2"/>
      <c r="V379" s="2"/>
      <c r="W379" s="2"/>
      <c r="X379" s="2"/>
      <c r="Y379" s="2"/>
      <c r="Z379" s="2"/>
    </row>
    <row r="380" spans="11:26" x14ac:dyDescent="0.25">
      <c r="K380" s="2">
        <v>366</v>
      </c>
      <c r="L380" s="2">
        <f t="shared" si="15"/>
        <v>205.80501449828267</v>
      </c>
      <c r="M380" s="2">
        <f t="shared" si="17"/>
        <v>0.99999999999928724</v>
      </c>
      <c r="N380" s="2" t="str">
        <f t="shared" si="16"/>
        <v/>
      </c>
      <c r="S380" s="2"/>
      <c r="T380" s="2"/>
      <c r="U380" s="2"/>
      <c r="V380" s="2"/>
      <c r="W380" s="2"/>
      <c r="X380" s="2"/>
      <c r="Y380" s="2"/>
      <c r="Z380" s="2"/>
    </row>
    <row r="381" spans="11:26" x14ac:dyDescent="0.25">
      <c r="K381" s="2">
        <v>367</v>
      </c>
      <c r="L381" s="2">
        <f t="shared" si="15"/>
        <v>206.33541174426216</v>
      </c>
      <c r="M381" s="2">
        <f t="shared" si="17"/>
        <v>0.99999999999934386</v>
      </c>
      <c r="N381" s="2" t="str">
        <f t="shared" si="16"/>
        <v/>
      </c>
      <c r="S381" s="2"/>
      <c r="T381" s="2"/>
      <c r="U381" s="2"/>
      <c r="V381" s="2"/>
      <c r="W381" s="2"/>
      <c r="X381" s="2"/>
      <c r="Y381" s="2"/>
      <c r="Z381" s="2"/>
    </row>
    <row r="382" spans="11:26" x14ac:dyDescent="0.25">
      <c r="K382" s="2">
        <v>368</v>
      </c>
      <c r="L382" s="2">
        <f t="shared" si="15"/>
        <v>206.86576754974496</v>
      </c>
      <c r="M382" s="2">
        <f t="shared" si="17"/>
        <v>0.99999999999939615</v>
      </c>
      <c r="N382" s="2" t="str">
        <f t="shared" si="16"/>
        <v/>
      </c>
      <c r="S382" s="2"/>
      <c r="T382" s="2"/>
      <c r="U382" s="2"/>
      <c r="V382" s="2"/>
      <c r="W382" s="2"/>
      <c r="X382" s="2"/>
      <c r="Y382" s="2"/>
      <c r="Z382" s="2"/>
    </row>
    <row r="383" spans="11:26" x14ac:dyDescent="0.25">
      <c r="K383" s="2">
        <v>369</v>
      </c>
      <c r="L383" s="2">
        <f t="shared" si="15"/>
        <v>207.3960820837595</v>
      </c>
      <c r="M383" s="2">
        <f t="shared" si="17"/>
        <v>0.99999999999944422</v>
      </c>
      <c r="N383" s="2" t="str">
        <f t="shared" si="16"/>
        <v/>
      </c>
      <c r="S383" s="2"/>
      <c r="T383" s="2"/>
      <c r="U383" s="2"/>
      <c r="V383" s="2"/>
      <c r="W383" s="2"/>
      <c r="X383" s="2"/>
      <c r="Y383" s="2"/>
      <c r="Z383" s="2"/>
    </row>
    <row r="384" spans="11:26" x14ac:dyDescent="0.25">
      <c r="K384" s="2">
        <v>370</v>
      </c>
      <c r="L384" s="2">
        <f t="shared" si="15"/>
        <v>207.9263555141882</v>
      </c>
      <c r="M384" s="2">
        <f t="shared" si="17"/>
        <v>0.99999999999948841</v>
      </c>
      <c r="N384" s="2" t="str">
        <f t="shared" si="16"/>
        <v/>
      </c>
      <c r="S384" s="2"/>
      <c r="T384" s="2"/>
      <c r="U384" s="2"/>
      <c r="V384" s="2"/>
      <c r="W384" s="2"/>
      <c r="X384" s="2"/>
      <c r="Y384" s="2"/>
      <c r="Z384" s="2"/>
    </row>
    <row r="385" spans="11:26" x14ac:dyDescent="0.25">
      <c r="K385" s="2">
        <v>371</v>
      </c>
      <c r="L385" s="2">
        <f t="shared" si="15"/>
        <v>208.45658800777852</v>
      </c>
      <c r="M385" s="2">
        <f t="shared" si="17"/>
        <v>0.99999999999952927</v>
      </c>
      <c r="N385" s="2" t="str">
        <f t="shared" si="16"/>
        <v/>
      </c>
      <c r="S385" s="2"/>
      <c r="T385" s="2"/>
      <c r="U385" s="2"/>
      <c r="V385" s="2"/>
      <c r="W385" s="2"/>
      <c r="X385" s="2"/>
      <c r="Y385" s="2"/>
      <c r="Z385" s="2"/>
    </row>
    <row r="386" spans="11:26" x14ac:dyDescent="0.25">
      <c r="K386" s="2">
        <v>372</v>
      </c>
      <c r="L386" s="2">
        <f t="shared" si="15"/>
        <v>208.98677973015333</v>
      </c>
      <c r="M386" s="2">
        <f t="shared" si="17"/>
        <v>0.99999999999956679</v>
      </c>
      <c r="N386" s="2" t="str">
        <f t="shared" si="16"/>
        <v/>
      </c>
      <c r="S386" s="2"/>
      <c r="T386" s="2"/>
      <c r="U386" s="2"/>
      <c r="V386" s="2"/>
      <c r="W386" s="2"/>
      <c r="X386" s="2"/>
      <c r="Y386" s="2"/>
      <c r="Z386" s="2"/>
    </row>
    <row r="387" spans="11:26" x14ac:dyDescent="0.25">
      <c r="K387" s="2">
        <v>373</v>
      </c>
      <c r="L387" s="2">
        <f t="shared" si="15"/>
        <v>209.51693084582189</v>
      </c>
      <c r="M387" s="2">
        <f t="shared" si="17"/>
        <v>0.99999999999960121</v>
      </c>
      <c r="N387" s="2" t="str">
        <f t="shared" si="16"/>
        <v/>
      </c>
      <c r="S387" s="2"/>
      <c r="T387" s="2"/>
      <c r="U387" s="2"/>
      <c r="V387" s="2"/>
      <c r="W387" s="2"/>
      <c r="X387" s="2"/>
      <c r="Y387" s="2"/>
      <c r="Z387" s="2"/>
    </row>
    <row r="388" spans="11:26" x14ac:dyDescent="0.25">
      <c r="K388" s="2">
        <v>374</v>
      </c>
      <c r="L388" s="2">
        <f t="shared" si="15"/>
        <v>210.04704151818993</v>
      </c>
      <c r="M388" s="2">
        <f t="shared" si="17"/>
        <v>0.99999999999963296</v>
      </c>
      <c r="N388" s="2" t="str">
        <f t="shared" si="16"/>
        <v/>
      </c>
      <c r="S388" s="2"/>
      <c r="T388" s="2"/>
      <c r="U388" s="2"/>
      <c r="V388" s="2"/>
      <c r="W388" s="2"/>
      <c r="X388" s="2"/>
      <c r="Y388" s="2"/>
      <c r="Z388" s="2"/>
    </row>
    <row r="389" spans="11:26" x14ac:dyDescent="0.25">
      <c r="K389" s="2">
        <v>375</v>
      </c>
      <c r="L389" s="2">
        <f t="shared" si="15"/>
        <v>210.57711190957031</v>
      </c>
      <c r="M389" s="2">
        <f t="shared" si="17"/>
        <v>0.99999999999966227</v>
      </c>
      <c r="N389" s="2" t="str">
        <f t="shared" si="16"/>
        <v/>
      </c>
      <c r="S389" s="2"/>
      <c r="T389" s="2"/>
      <c r="U389" s="2"/>
      <c r="V389" s="2"/>
      <c r="W389" s="2"/>
      <c r="X389" s="2"/>
      <c r="Y389" s="2"/>
      <c r="Z389" s="2"/>
    </row>
    <row r="390" spans="11:26" x14ac:dyDescent="0.25">
      <c r="K390" s="2">
        <v>376</v>
      </c>
      <c r="L390" s="2">
        <f t="shared" si="15"/>
        <v>211.10714218119298</v>
      </c>
      <c r="M390" s="2">
        <f t="shared" si="17"/>
        <v>0.99999999999968914</v>
      </c>
      <c r="N390" s="2" t="str">
        <f t="shared" si="16"/>
        <v/>
      </c>
      <c r="S390" s="2"/>
      <c r="T390" s="2"/>
      <c r="U390" s="2"/>
      <c r="V390" s="2"/>
      <c r="W390" s="2"/>
      <c r="X390" s="2"/>
      <c r="Y390" s="2"/>
      <c r="Z390" s="2"/>
    </row>
    <row r="391" spans="11:26" x14ac:dyDescent="0.25">
      <c r="K391" s="2">
        <v>377</v>
      </c>
      <c r="L391" s="2">
        <f t="shared" si="15"/>
        <v>211.63713249321523</v>
      </c>
      <c r="M391" s="2">
        <f t="shared" si="17"/>
        <v>0.99999999999971401</v>
      </c>
      <c r="N391" s="2" t="str">
        <f t="shared" si="16"/>
        <v/>
      </c>
      <c r="S391" s="2"/>
      <c r="T391" s="2"/>
      <c r="U391" s="2"/>
      <c r="V391" s="2"/>
      <c r="W391" s="2"/>
      <c r="X391" s="2"/>
      <c r="Y391" s="2"/>
      <c r="Z391" s="2"/>
    </row>
    <row r="392" spans="11:26" x14ac:dyDescent="0.25">
      <c r="K392" s="2">
        <v>378</v>
      </c>
      <c r="L392" s="2">
        <f t="shared" si="15"/>
        <v>212.16708300473161</v>
      </c>
      <c r="M392" s="2">
        <f t="shared" si="17"/>
        <v>0.99999999999973688</v>
      </c>
      <c r="N392" s="2" t="str">
        <f t="shared" si="16"/>
        <v/>
      </c>
      <c r="S392" s="2"/>
      <c r="T392" s="2"/>
      <c r="U392" s="2"/>
      <c r="V392" s="2"/>
      <c r="W392" s="2"/>
      <c r="X392" s="2"/>
      <c r="Y392" s="2"/>
      <c r="Z392" s="2"/>
    </row>
    <row r="393" spans="11:26" x14ac:dyDescent="0.25">
      <c r="K393" s="2">
        <v>379</v>
      </c>
      <c r="L393" s="2">
        <f t="shared" si="15"/>
        <v>212.69699387378367</v>
      </c>
      <c r="M393" s="2">
        <f t="shared" si="17"/>
        <v>0.99999999999975775</v>
      </c>
      <c r="N393" s="2" t="str">
        <f t="shared" si="16"/>
        <v/>
      </c>
      <c r="S393" s="2"/>
      <c r="T393" s="2"/>
      <c r="U393" s="2"/>
      <c r="V393" s="2"/>
      <c r="W393" s="2"/>
      <c r="X393" s="2"/>
      <c r="Y393" s="2"/>
      <c r="Z393" s="2"/>
    </row>
    <row r="394" spans="11:26" x14ac:dyDescent="0.25">
      <c r="K394" s="2">
        <v>380</v>
      </c>
      <c r="L394" s="2">
        <f t="shared" si="15"/>
        <v>213.22686525736987</v>
      </c>
      <c r="M394" s="2">
        <f t="shared" si="17"/>
        <v>0.99999999999977707</v>
      </c>
      <c r="N394" s="2" t="str">
        <f t="shared" si="16"/>
        <v/>
      </c>
      <c r="S394" s="2"/>
      <c r="T394" s="2"/>
      <c r="U394" s="2"/>
      <c r="V394" s="2"/>
      <c r="W394" s="2"/>
      <c r="X394" s="2"/>
      <c r="Y394" s="2"/>
      <c r="Z394" s="2"/>
    </row>
    <row r="395" spans="11:26" x14ac:dyDescent="0.25">
      <c r="K395" s="2">
        <v>381</v>
      </c>
      <c r="L395" s="2">
        <f t="shared" si="15"/>
        <v>213.75669731145507</v>
      </c>
      <c r="M395" s="2">
        <f t="shared" si="17"/>
        <v>0.99999999999979483</v>
      </c>
      <c r="N395" s="2" t="str">
        <f t="shared" si="16"/>
        <v/>
      </c>
      <c r="S395" s="2"/>
      <c r="T395" s="2"/>
      <c r="U395" s="2"/>
      <c r="V395" s="2"/>
      <c r="W395" s="2"/>
      <c r="X395" s="2"/>
      <c r="Y395" s="2"/>
      <c r="Z395" s="2"/>
    </row>
    <row r="396" spans="11:26" x14ac:dyDescent="0.25">
      <c r="K396" s="2">
        <v>382</v>
      </c>
      <c r="L396" s="2">
        <f t="shared" si="15"/>
        <v>214.28649019098006</v>
      </c>
      <c r="M396" s="2">
        <f t="shared" si="17"/>
        <v>0.99999999999981126</v>
      </c>
      <c r="N396" s="2" t="str">
        <f t="shared" si="16"/>
        <v/>
      </c>
      <c r="S396" s="2"/>
      <c r="T396" s="2"/>
      <c r="U396" s="2"/>
      <c r="V396" s="2"/>
      <c r="W396" s="2"/>
      <c r="X396" s="2"/>
      <c r="Y396" s="2"/>
      <c r="Z396" s="2"/>
    </row>
    <row r="397" spans="11:26" x14ac:dyDescent="0.25">
      <c r="K397" s="2">
        <v>383</v>
      </c>
      <c r="L397" s="2">
        <f t="shared" si="15"/>
        <v>214.81624404987099</v>
      </c>
      <c r="M397" s="2">
        <f t="shared" si="17"/>
        <v>0.99999999999982636</v>
      </c>
      <c r="N397" s="2" t="str">
        <f t="shared" si="16"/>
        <v/>
      </c>
      <c r="S397" s="2"/>
      <c r="T397" s="2"/>
      <c r="U397" s="2"/>
      <c r="V397" s="2"/>
      <c r="W397" s="2"/>
      <c r="X397" s="2"/>
      <c r="Y397" s="2"/>
      <c r="Z397" s="2"/>
    </row>
    <row r="398" spans="11:26" x14ac:dyDescent="0.25">
      <c r="K398" s="2">
        <v>384</v>
      </c>
      <c r="L398" s="2">
        <f t="shared" si="15"/>
        <v>215.34595904104856</v>
      </c>
      <c r="M398" s="2">
        <f t="shared" si="17"/>
        <v>0.99999999999984024</v>
      </c>
      <c r="N398" s="2" t="str">
        <f t="shared" si="16"/>
        <v/>
      </c>
      <c r="S398" s="2"/>
      <c r="T398" s="2"/>
      <c r="U398" s="2"/>
      <c r="V398" s="2"/>
      <c r="W398" s="2"/>
      <c r="X398" s="2"/>
      <c r="Y398" s="2"/>
      <c r="Z398" s="2"/>
    </row>
    <row r="399" spans="11:26" x14ac:dyDescent="0.25">
      <c r="K399" s="2">
        <v>385</v>
      </c>
      <c r="L399" s="2">
        <f t="shared" si="15"/>
        <v>215.8756353164373</v>
      </c>
      <c r="M399" s="2">
        <f t="shared" si="17"/>
        <v>0.99999999999985301</v>
      </c>
      <c r="N399" s="2" t="str">
        <f t="shared" si="16"/>
        <v/>
      </c>
      <c r="S399" s="2"/>
      <c r="T399" s="2"/>
      <c r="U399" s="2"/>
      <c r="V399" s="2"/>
      <c r="W399" s="2"/>
      <c r="X399" s="2"/>
      <c r="Y399" s="2"/>
      <c r="Z399" s="2"/>
    </row>
    <row r="400" spans="11:26" x14ac:dyDescent="0.25">
      <c r="K400" s="2">
        <v>386</v>
      </c>
      <c r="L400" s="2">
        <f t="shared" ref="L400:L463" si="18">CHIINV($C$7,K400)/$J$15</f>
        <v>216.40527302697453</v>
      </c>
      <c r="M400" s="2">
        <f t="shared" si="17"/>
        <v>0.99999999999986477</v>
      </c>
      <c r="N400" s="2" t="str">
        <f t="shared" ref="N400:N463" si="19">IF(M400&lt;$C$11,K400,"")</f>
        <v/>
      </c>
      <c r="S400" s="2"/>
      <c r="T400" s="2"/>
      <c r="U400" s="2"/>
      <c r="V400" s="2"/>
      <c r="W400" s="2"/>
      <c r="X400" s="2"/>
      <c r="Y400" s="2"/>
      <c r="Z400" s="2"/>
    </row>
    <row r="401" spans="11:26" x14ac:dyDescent="0.25">
      <c r="K401" s="2">
        <v>387</v>
      </c>
      <c r="L401" s="2">
        <f t="shared" si="18"/>
        <v>216.93487232261941</v>
      </c>
      <c r="M401" s="2">
        <f t="shared" si="17"/>
        <v>0.99999999999987554</v>
      </c>
      <c r="N401" s="2" t="str">
        <f t="shared" si="19"/>
        <v/>
      </c>
      <c r="S401" s="2"/>
      <c r="T401" s="2"/>
      <c r="U401" s="2"/>
      <c r="V401" s="2"/>
      <c r="W401" s="2"/>
      <c r="X401" s="2"/>
      <c r="Y401" s="2"/>
      <c r="Z401" s="2"/>
    </row>
    <row r="402" spans="11:26" x14ac:dyDescent="0.25">
      <c r="K402" s="2">
        <v>388</v>
      </c>
      <c r="L402" s="2">
        <f t="shared" si="18"/>
        <v>217.46443335236168</v>
      </c>
      <c r="M402" s="2">
        <f t="shared" si="17"/>
        <v>0.99999999999988542</v>
      </c>
      <c r="N402" s="2" t="str">
        <f t="shared" si="19"/>
        <v/>
      </c>
      <c r="S402" s="2"/>
      <c r="T402" s="2"/>
      <c r="U402" s="2"/>
      <c r="V402" s="2"/>
      <c r="W402" s="2"/>
      <c r="X402" s="2"/>
      <c r="Y402" s="2"/>
      <c r="Z402" s="2"/>
    </row>
    <row r="403" spans="11:26" x14ac:dyDescent="0.25">
      <c r="K403" s="2">
        <v>389</v>
      </c>
      <c r="L403" s="2">
        <f t="shared" si="18"/>
        <v>217.99395626423058</v>
      </c>
      <c r="M403" s="2">
        <f t="shared" si="17"/>
        <v>0.99999999999989464</v>
      </c>
      <c r="N403" s="2" t="str">
        <f t="shared" si="19"/>
        <v/>
      </c>
      <c r="S403" s="2"/>
      <c r="T403" s="2"/>
      <c r="U403" s="2"/>
      <c r="V403" s="2"/>
      <c r="W403" s="2"/>
      <c r="X403" s="2"/>
      <c r="Y403" s="2"/>
      <c r="Z403" s="2"/>
    </row>
    <row r="404" spans="11:26" x14ac:dyDescent="0.25">
      <c r="K404" s="2">
        <v>390</v>
      </c>
      <c r="L404" s="2">
        <f t="shared" si="18"/>
        <v>218.52344120530327</v>
      </c>
      <c r="M404" s="2">
        <f t="shared" ref="M404:M467" si="20">CHIDIST(L404,K404)</f>
        <v>0.99999999999990297</v>
      </c>
      <c r="N404" s="2" t="str">
        <f t="shared" si="19"/>
        <v/>
      </c>
      <c r="S404" s="2"/>
      <c r="T404" s="2"/>
      <c r="U404" s="2"/>
      <c r="V404" s="2"/>
      <c r="W404" s="2"/>
      <c r="X404" s="2"/>
      <c r="Y404" s="2"/>
      <c r="Z404" s="2"/>
    </row>
    <row r="405" spans="11:26" x14ac:dyDescent="0.25">
      <c r="K405" s="2">
        <v>391</v>
      </c>
      <c r="L405" s="2">
        <f t="shared" si="18"/>
        <v>219.0528883217136</v>
      </c>
      <c r="M405" s="2">
        <f t="shared" si="20"/>
        <v>0.99999999999991074</v>
      </c>
      <c r="N405" s="2" t="str">
        <f t="shared" si="19"/>
        <v/>
      </c>
      <c r="S405" s="2"/>
      <c r="T405" s="2"/>
      <c r="U405" s="2"/>
      <c r="V405" s="2"/>
      <c r="W405" s="2"/>
      <c r="X405" s="2"/>
      <c r="Y405" s="2"/>
      <c r="Z405" s="2"/>
    </row>
    <row r="406" spans="11:26" x14ac:dyDescent="0.25">
      <c r="K406" s="2">
        <v>392</v>
      </c>
      <c r="L406" s="2">
        <f t="shared" si="18"/>
        <v>219.58229775866042</v>
      </c>
      <c r="M406" s="2">
        <f t="shared" si="20"/>
        <v>0.99999999999991784</v>
      </c>
      <c r="N406" s="2" t="str">
        <f t="shared" si="19"/>
        <v/>
      </c>
      <c r="S406" s="2"/>
      <c r="T406" s="2"/>
      <c r="U406" s="2"/>
      <c r="V406" s="2"/>
      <c r="W406" s="2"/>
      <c r="X406" s="2"/>
      <c r="Y406" s="2"/>
      <c r="Z406" s="2"/>
    </row>
    <row r="407" spans="11:26" x14ac:dyDescent="0.25">
      <c r="K407" s="2">
        <v>393</v>
      </c>
      <c r="L407" s="2">
        <f t="shared" si="18"/>
        <v>220.11166966041597</v>
      </c>
      <c r="M407" s="2">
        <f t="shared" si="20"/>
        <v>0.9999999999999245</v>
      </c>
      <c r="N407" s="2" t="str">
        <f t="shared" si="19"/>
        <v/>
      </c>
      <c r="S407" s="2"/>
      <c r="T407" s="2"/>
      <c r="U407" s="2"/>
      <c r="V407" s="2"/>
      <c r="W407" s="2"/>
      <c r="X407" s="2"/>
      <c r="Y407" s="2"/>
      <c r="Z407" s="2"/>
    </row>
    <row r="408" spans="11:26" x14ac:dyDescent="0.25">
      <c r="K408" s="2">
        <v>394</v>
      </c>
      <c r="L408" s="2">
        <f t="shared" si="18"/>
        <v>220.64100417033418</v>
      </c>
      <c r="M408" s="2">
        <f t="shared" si="20"/>
        <v>0.9999999999999305</v>
      </c>
      <c r="N408" s="2" t="str">
        <f t="shared" si="19"/>
        <v/>
      </c>
      <c r="S408" s="2"/>
      <c r="T408" s="2"/>
      <c r="U408" s="2"/>
      <c r="V408" s="2"/>
      <c r="W408" s="2"/>
      <c r="X408" s="2"/>
      <c r="Y408" s="2"/>
      <c r="Z408" s="2"/>
    </row>
    <row r="409" spans="11:26" x14ac:dyDescent="0.25">
      <c r="K409" s="2">
        <v>395</v>
      </c>
      <c r="L409" s="2">
        <f t="shared" si="18"/>
        <v>221.17030143085876</v>
      </c>
      <c r="M409" s="2">
        <f t="shared" si="20"/>
        <v>0.99999999999993605</v>
      </c>
      <c r="N409" s="2" t="str">
        <f t="shared" si="19"/>
        <v/>
      </c>
      <c r="S409" s="2"/>
      <c r="T409" s="2"/>
      <c r="U409" s="2"/>
      <c r="V409" s="2"/>
      <c r="W409" s="2"/>
      <c r="X409" s="2"/>
      <c r="Y409" s="2"/>
      <c r="Z409" s="2"/>
    </row>
    <row r="410" spans="11:26" x14ac:dyDescent="0.25">
      <c r="K410" s="2">
        <v>396</v>
      </c>
      <c r="L410" s="2">
        <f t="shared" si="18"/>
        <v>221.69956158353133</v>
      </c>
      <c r="M410" s="2">
        <f t="shared" si="20"/>
        <v>0.99999999999994116</v>
      </c>
      <c r="N410" s="2" t="str">
        <f t="shared" si="19"/>
        <v/>
      </c>
      <c r="S410" s="2"/>
      <c r="T410" s="2"/>
      <c r="U410" s="2"/>
      <c r="V410" s="2"/>
      <c r="W410" s="2"/>
      <c r="X410" s="2"/>
      <c r="Y410" s="2"/>
      <c r="Z410" s="2"/>
    </row>
    <row r="411" spans="11:26" x14ac:dyDescent="0.25">
      <c r="K411" s="2">
        <v>397</v>
      </c>
      <c r="L411" s="2">
        <f t="shared" si="18"/>
        <v>222.22878476899942</v>
      </c>
      <c r="M411" s="2">
        <f t="shared" si="20"/>
        <v>0.99999999999994593</v>
      </c>
      <c r="N411" s="2" t="str">
        <f t="shared" si="19"/>
        <v/>
      </c>
      <c r="S411" s="2"/>
      <c r="T411" s="2"/>
      <c r="U411" s="2"/>
      <c r="V411" s="2"/>
      <c r="W411" s="2"/>
      <c r="X411" s="2"/>
      <c r="Y411" s="2"/>
      <c r="Z411" s="2"/>
    </row>
    <row r="412" spans="11:26" x14ac:dyDescent="0.25">
      <c r="K412" s="2">
        <v>398</v>
      </c>
      <c r="L412" s="2">
        <f t="shared" si="18"/>
        <v>222.75797112702418</v>
      </c>
      <c r="M412" s="2">
        <f t="shared" si="20"/>
        <v>0.99999999999995026</v>
      </c>
      <c r="N412" s="2" t="str">
        <f t="shared" si="19"/>
        <v/>
      </c>
      <c r="S412" s="2"/>
      <c r="T412" s="2"/>
      <c r="U412" s="2"/>
      <c r="V412" s="2"/>
      <c r="W412" s="2"/>
      <c r="X412" s="2"/>
      <c r="Y412" s="2"/>
      <c r="Z412" s="2"/>
    </row>
    <row r="413" spans="11:26" x14ac:dyDescent="0.25">
      <c r="K413" s="2">
        <v>399</v>
      </c>
      <c r="L413" s="2">
        <f t="shared" si="18"/>
        <v>223.28712079648844</v>
      </c>
      <c r="M413" s="2">
        <f t="shared" si="20"/>
        <v>0.99999999999995426</v>
      </c>
      <c r="N413" s="2" t="str">
        <f t="shared" si="19"/>
        <v/>
      </c>
      <c r="S413" s="2"/>
      <c r="T413" s="2"/>
      <c r="U413" s="2"/>
      <c r="V413" s="2"/>
      <c r="W413" s="2"/>
      <c r="X413" s="2"/>
      <c r="Y413" s="2"/>
      <c r="Z413" s="2"/>
    </row>
    <row r="414" spans="11:26" x14ac:dyDescent="0.25">
      <c r="K414" s="2">
        <v>400</v>
      </c>
      <c r="L414" s="2">
        <f t="shared" si="18"/>
        <v>223.81623391540421</v>
      </c>
      <c r="M414" s="2">
        <f t="shared" si="20"/>
        <v>0.99999999999995781</v>
      </c>
      <c r="N414" s="2" t="str">
        <f t="shared" si="19"/>
        <v/>
      </c>
      <c r="S414" s="2"/>
      <c r="T414" s="2"/>
      <c r="U414" s="2"/>
      <c r="V414" s="2"/>
      <c r="W414" s="2"/>
      <c r="X414" s="2"/>
      <c r="Y414" s="2"/>
      <c r="Z414" s="2"/>
    </row>
    <row r="415" spans="11:26" x14ac:dyDescent="0.25">
      <c r="K415" s="2">
        <v>401</v>
      </c>
      <c r="L415" s="2">
        <f t="shared" si="18"/>
        <v>224.34531062092049</v>
      </c>
      <c r="M415" s="2">
        <f t="shared" si="20"/>
        <v>0.99999999999996125</v>
      </c>
      <c r="N415" s="2" t="str">
        <f t="shared" si="19"/>
        <v/>
      </c>
      <c r="S415" s="2"/>
      <c r="T415" s="2"/>
      <c r="U415" s="2"/>
      <c r="V415" s="2"/>
      <c r="W415" s="2"/>
      <c r="X415" s="2"/>
      <c r="Y415" s="2"/>
      <c r="Z415" s="2"/>
    </row>
    <row r="416" spans="11:26" x14ac:dyDescent="0.25">
      <c r="K416" s="2">
        <v>402</v>
      </c>
      <c r="L416" s="2">
        <f t="shared" si="18"/>
        <v>224.87435104933058</v>
      </c>
      <c r="M416" s="2">
        <f t="shared" si="20"/>
        <v>0.99999999999996436</v>
      </c>
      <c r="N416" s="2" t="str">
        <f t="shared" si="19"/>
        <v/>
      </c>
      <c r="S416" s="2"/>
      <c r="T416" s="2"/>
      <c r="U416" s="2"/>
      <c r="V416" s="2"/>
      <c r="W416" s="2"/>
      <c r="X416" s="2"/>
      <c r="Y416" s="2"/>
      <c r="Z416" s="2"/>
    </row>
    <row r="417" spans="11:26" x14ac:dyDescent="0.25">
      <c r="K417" s="2">
        <v>403</v>
      </c>
      <c r="L417" s="2">
        <f t="shared" si="18"/>
        <v>225.40335533607976</v>
      </c>
      <c r="M417" s="2">
        <f t="shared" si="20"/>
        <v>0.99999999999996714</v>
      </c>
      <c r="N417" s="2" t="str">
        <f t="shared" si="19"/>
        <v/>
      </c>
      <c r="S417" s="2"/>
      <c r="T417" s="2"/>
      <c r="U417" s="2"/>
      <c r="V417" s="2"/>
      <c r="W417" s="2"/>
      <c r="X417" s="2"/>
      <c r="Y417" s="2"/>
      <c r="Z417" s="2"/>
    </row>
    <row r="418" spans="11:26" x14ac:dyDescent="0.25">
      <c r="K418" s="2">
        <v>404</v>
      </c>
      <c r="L418" s="2">
        <f t="shared" si="18"/>
        <v>225.9323236157725</v>
      </c>
      <c r="M418" s="2">
        <f t="shared" si="20"/>
        <v>0.9999999999999698</v>
      </c>
      <c r="N418" s="2" t="str">
        <f t="shared" si="19"/>
        <v/>
      </c>
      <c r="S418" s="2"/>
      <c r="T418" s="2"/>
      <c r="U418" s="2"/>
      <c r="V418" s="2"/>
      <c r="W418" s="2"/>
      <c r="X418" s="2"/>
      <c r="Y418" s="2"/>
      <c r="Z418" s="2"/>
    </row>
    <row r="419" spans="11:26" x14ac:dyDescent="0.25">
      <c r="K419" s="2">
        <v>405</v>
      </c>
      <c r="L419" s="2">
        <f t="shared" si="18"/>
        <v>226.46125602217981</v>
      </c>
      <c r="M419" s="2">
        <f t="shared" si="20"/>
        <v>0.99999999999997224</v>
      </c>
      <c r="N419" s="2" t="str">
        <f t="shared" si="19"/>
        <v/>
      </c>
      <c r="S419" s="2"/>
      <c r="T419" s="2"/>
      <c r="U419" s="2"/>
      <c r="V419" s="2"/>
      <c r="W419" s="2"/>
      <c r="X419" s="2"/>
      <c r="Y419" s="2"/>
      <c r="Z419" s="2"/>
    </row>
    <row r="420" spans="11:26" x14ac:dyDescent="0.25">
      <c r="K420" s="2">
        <v>406</v>
      </c>
      <c r="L420" s="2">
        <f t="shared" si="18"/>
        <v>226.99015268824647</v>
      </c>
      <c r="M420" s="2">
        <f t="shared" si="20"/>
        <v>0.99999999999997446</v>
      </c>
      <c r="N420" s="2" t="str">
        <f t="shared" si="19"/>
        <v/>
      </c>
      <c r="S420" s="2"/>
      <c r="T420" s="2"/>
      <c r="U420" s="2"/>
      <c r="V420" s="2"/>
      <c r="W420" s="2"/>
      <c r="X420" s="2"/>
      <c r="Y420" s="2"/>
      <c r="Z420" s="2"/>
    </row>
    <row r="421" spans="11:26" x14ac:dyDescent="0.25">
      <c r="K421" s="2">
        <v>407</v>
      </c>
      <c r="L421" s="2">
        <f t="shared" si="18"/>
        <v>227.51901374609812</v>
      </c>
      <c r="M421" s="2">
        <f t="shared" si="20"/>
        <v>0.99999999999997646</v>
      </c>
      <c r="N421" s="2" t="str">
        <f t="shared" si="19"/>
        <v/>
      </c>
      <c r="S421" s="2"/>
      <c r="T421" s="2"/>
      <c r="U421" s="2"/>
      <c r="V421" s="2"/>
      <c r="W421" s="2"/>
      <c r="X421" s="2"/>
      <c r="Y421" s="2"/>
      <c r="Z421" s="2"/>
    </row>
    <row r="422" spans="11:26" x14ac:dyDescent="0.25">
      <c r="K422" s="2">
        <v>408</v>
      </c>
      <c r="L422" s="2">
        <f t="shared" si="18"/>
        <v>228.04783932704831</v>
      </c>
      <c r="M422" s="2">
        <f t="shared" si="20"/>
        <v>0.99999999999997846</v>
      </c>
      <c r="N422" s="2" t="str">
        <f t="shared" si="19"/>
        <v/>
      </c>
      <c r="S422" s="2"/>
      <c r="T422" s="2"/>
      <c r="U422" s="2"/>
      <c r="V422" s="2"/>
      <c r="W422" s="2"/>
      <c r="X422" s="2"/>
      <c r="Y422" s="2"/>
      <c r="Z422" s="2"/>
    </row>
    <row r="423" spans="11:26" x14ac:dyDescent="0.25">
      <c r="K423" s="2">
        <v>409</v>
      </c>
      <c r="L423" s="2">
        <f t="shared" si="18"/>
        <v>228.5766295616055</v>
      </c>
      <c r="M423" s="2">
        <f t="shared" si="20"/>
        <v>0.99999999999998013</v>
      </c>
      <c r="N423" s="2" t="str">
        <f t="shared" si="19"/>
        <v/>
      </c>
      <c r="S423" s="2"/>
      <c r="T423" s="2"/>
      <c r="U423" s="2"/>
      <c r="V423" s="2"/>
      <c r="W423" s="2"/>
      <c r="X423" s="2"/>
      <c r="Y423" s="2"/>
      <c r="Z423" s="2"/>
    </row>
    <row r="424" spans="11:26" x14ac:dyDescent="0.25">
      <c r="K424" s="2">
        <v>410</v>
      </c>
      <c r="L424" s="2">
        <f t="shared" si="18"/>
        <v>229.10538457947993</v>
      </c>
      <c r="M424" s="2">
        <f t="shared" si="20"/>
        <v>0.99999999999998179</v>
      </c>
      <c r="N424" s="2" t="str">
        <f t="shared" si="19"/>
        <v/>
      </c>
      <c r="S424" s="2"/>
      <c r="T424" s="2"/>
      <c r="U424" s="2"/>
      <c r="V424" s="2"/>
      <c r="W424" s="2"/>
      <c r="X424" s="2"/>
      <c r="Y424" s="2"/>
      <c r="Z424" s="2"/>
    </row>
    <row r="425" spans="11:26" x14ac:dyDescent="0.25">
      <c r="K425" s="2">
        <v>411</v>
      </c>
      <c r="L425" s="2">
        <f t="shared" si="18"/>
        <v>229.6341045095904</v>
      </c>
      <c r="M425" s="2">
        <f t="shared" si="20"/>
        <v>0.99999999999998312</v>
      </c>
      <c r="N425" s="2" t="str">
        <f t="shared" si="19"/>
        <v/>
      </c>
      <c r="S425" s="2"/>
      <c r="T425" s="2"/>
      <c r="U425" s="2"/>
      <c r="V425" s="2"/>
      <c r="W425" s="2"/>
      <c r="X425" s="2"/>
      <c r="Y425" s="2"/>
      <c r="Z425" s="2"/>
    </row>
    <row r="426" spans="11:26" x14ac:dyDescent="0.25">
      <c r="K426" s="2">
        <v>412</v>
      </c>
      <c r="L426" s="2">
        <f t="shared" si="18"/>
        <v>230.16278948007115</v>
      </c>
      <c r="M426" s="2">
        <f t="shared" si="20"/>
        <v>0.99999999999998457</v>
      </c>
      <c r="N426" s="2" t="str">
        <f t="shared" si="19"/>
        <v/>
      </c>
      <c r="S426" s="2"/>
      <c r="T426" s="2"/>
      <c r="U426" s="2"/>
      <c r="V426" s="2"/>
      <c r="W426" s="2"/>
      <c r="X426" s="2"/>
      <c r="Y426" s="2"/>
      <c r="Z426" s="2"/>
    </row>
    <row r="427" spans="11:26" x14ac:dyDescent="0.25">
      <c r="K427" s="2">
        <v>413</v>
      </c>
      <c r="L427" s="2">
        <f t="shared" si="18"/>
        <v>230.69143961827834</v>
      </c>
      <c r="M427" s="2">
        <f t="shared" si="20"/>
        <v>0.99999999999998579</v>
      </c>
      <c r="N427" s="2" t="str">
        <f t="shared" si="19"/>
        <v/>
      </c>
      <c r="S427" s="2"/>
      <c r="T427" s="2"/>
      <c r="U427" s="2"/>
      <c r="V427" s="2"/>
      <c r="W427" s="2"/>
      <c r="X427" s="2"/>
      <c r="Y427" s="2"/>
      <c r="Z427" s="2"/>
    </row>
    <row r="428" spans="11:26" x14ac:dyDescent="0.25">
      <c r="K428" s="2">
        <v>414</v>
      </c>
      <c r="L428" s="2">
        <f t="shared" si="18"/>
        <v>231.22005505079679</v>
      </c>
      <c r="M428" s="2">
        <f t="shared" si="20"/>
        <v>0.9999999999999869</v>
      </c>
      <c r="N428" s="2" t="str">
        <f t="shared" si="19"/>
        <v/>
      </c>
      <c r="S428" s="2"/>
      <c r="T428" s="2"/>
      <c r="U428" s="2"/>
      <c r="V428" s="2"/>
      <c r="W428" s="2"/>
      <c r="X428" s="2"/>
      <c r="Y428" s="2"/>
      <c r="Z428" s="2"/>
    </row>
    <row r="429" spans="11:26" x14ac:dyDescent="0.25">
      <c r="K429" s="2">
        <v>415</v>
      </c>
      <c r="L429" s="2">
        <f t="shared" si="18"/>
        <v>231.74863590344648</v>
      </c>
      <c r="M429" s="2">
        <f t="shared" si="20"/>
        <v>0.99999999999998801</v>
      </c>
      <c r="N429" s="2" t="str">
        <f t="shared" si="19"/>
        <v/>
      </c>
      <c r="S429" s="2"/>
      <c r="T429" s="2"/>
      <c r="U429" s="2"/>
      <c r="V429" s="2"/>
      <c r="W429" s="2"/>
      <c r="X429" s="2"/>
      <c r="Y429" s="2"/>
      <c r="Z429" s="2"/>
    </row>
    <row r="430" spans="11:26" x14ac:dyDescent="0.25">
      <c r="K430" s="2">
        <v>416</v>
      </c>
      <c r="L430" s="2">
        <f t="shared" si="18"/>
        <v>232.27718230128892</v>
      </c>
      <c r="M430" s="2">
        <f t="shared" si="20"/>
        <v>0.9999999999999889</v>
      </c>
      <c r="N430" s="2" t="str">
        <f t="shared" si="19"/>
        <v/>
      </c>
      <c r="S430" s="2"/>
      <c r="T430" s="2"/>
      <c r="U430" s="2"/>
      <c r="V430" s="2"/>
      <c r="W430" s="2"/>
      <c r="X430" s="2"/>
      <c r="Y430" s="2"/>
      <c r="Z430" s="2"/>
    </row>
    <row r="431" spans="11:26" x14ac:dyDescent="0.25">
      <c r="K431" s="2">
        <v>417</v>
      </c>
      <c r="L431" s="2">
        <f t="shared" si="18"/>
        <v>232.80569436863362</v>
      </c>
      <c r="M431" s="2">
        <f t="shared" si="20"/>
        <v>0.99999999999998979</v>
      </c>
      <c r="N431" s="2" t="str">
        <f t="shared" si="19"/>
        <v/>
      </c>
      <c r="S431" s="2"/>
      <c r="T431" s="2"/>
      <c r="U431" s="2"/>
      <c r="V431" s="2"/>
      <c r="W431" s="2"/>
      <c r="X431" s="2"/>
      <c r="Y431" s="2"/>
      <c r="Z431" s="2"/>
    </row>
    <row r="432" spans="11:26" x14ac:dyDescent="0.25">
      <c r="K432" s="2">
        <v>418</v>
      </c>
      <c r="L432" s="2">
        <f t="shared" si="18"/>
        <v>233.33417222904447</v>
      </c>
      <c r="M432" s="2">
        <f t="shared" si="20"/>
        <v>0.99999999999999067</v>
      </c>
      <c r="N432" s="2" t="str">
        <f t="shared" si="19"/>
        <v/>
      </c>
      <c r="S432" s="2"/>
      <c r="T432" s="2"/>
      <c r="U432" s="2"/>
      <c r="V432" s="2"/>
      <c r="W432" s="2"/>
      <c r="X432" s="2"/>
      <c r="Y432" s="2"/>
      <c r="Z432" s="2"/>
    </row>
    <row r="433" spans="11:26" x14ac:dyDescent="0.25">
      <c r="K433" s="2">
        <v>419</v>
      </c>
      <c r="L433" s="2">
        <f t="shared" si="18"/>
        <v>233.86261600534573</v>
      </c>
      <c r="M433" s="2">
        <f t="shared" si="20"/>
        <v>0.99999999999999134</v>
      </c>
      <c r="N433" s="2" t="str">
        <f t="shared" si="19"/>
        <v/>
      </c>
      <c r="S433" s="2"/>
      <c r="T433" s="2"/>
      <c r="U433" s="2"/>
      <c r="V433" s="2"/>
      <c r="W433" s="2"/>
      <c r="X433" s="2"/>
      <c r="Y433" s="2"/>
      <c r="Z433" s="2"/>
    </row>
    <row r="434" spans="11:26" x14ac:dyDescent="0.25">
      <c r="K434" s="2">
        <v>420</v>
      </c>
      <c r="L434" s="2">
        <f t="shared" si="18"/>
        <v>234.39102581962857</v>
      </c>
      <c r="M434" s="2">
        <f t="shared" si="20"/>
        <v>0.99999999999999201</v>
      </c>
      <c r="N434" s="2" t="str">
        <f t="shared" si="19"/>
        <v/>
      </c>
      <c r="S434" s="2"/>
      <c r="T434" s="2"/>
      <c r="U434" s="2"/>
      <c r="V434" s="2"/>
      <c r="W434" s="2"/>
      <c r="X434" s="2"/>
      <c r="Y434" s="2"/>
      <c r="Z434" s="2"/>
    </row>
    <row r="435" spans="11:26" x14ac:dyDescent="0.25">
      <c r="K435" s="2">
        <v>421</v>
      </c>
      <c r="L435" s="2">
        <f t="shared" si="18"/>
        <v>234.91940179325684</v>
      </c>
      <c r="M435" s="2">
        <f t="shared" si="20"/>
        <v>0.99999999999999267</v>
      </c>
      <c r="N435" s="2" t="str">
        <f t="shared" si="19"/>
        <v/>
      </c>
      <c r="S435" s="2"/>
      <c r="T435" s="2"/>
      <c r="U435" s="2"/>
      <c r="V435" s="2"/>
      <c r="W435" s="2"/>
      <c r="X435" s="2"/>
      <c r="Y435" s="2"/>
      <c r="Z435" s="2"/>
    </row>
    <row r="436" spans="11:26" x14ac:dyDescent="0.25">
      <c r="K436" s="2">
        <v>422</v>
      </c>
      <c r="L436" s="2">
        <f t="shared" si="18"/>
        <v>235.4477440468734</v>
      </c>
      <c r="M436" s="2">
        <f t="shared" si="20"/>
        <v>0.99999999999999334</v>
      </c>
      <c r="N436" s="2" t="str">
        <f t="shared" si="19"/>
        <v/>
      </c>
      <c r="S436" s="2"/>
      <c r="T436" s="2"/>
      <c r="U436" s="2"/>
      <c r="V436" s="2"/>
      <c r="W436" s="2"/>
      <c r="X436" s="2"/>
      <c r="Y436" s="2"/>
      <c r="Z436" s="2"/>
    </row>
    <row r="437" spans="11:26" x14ac:dyDescent="0.25">
      <c r="K437" s="2">
        <v>423</v>
      </c>
      <c r="L437" s="2">
        <f t="shared" si="18"/>
        <v>235.97605270040586</v>
      </c>
      <c r="M437" s="2">
        <f t="shared" si="20"/>
        <v>0.99999999999999378</v>
      </c>
      <c r="N437" s="2" t="str">
        <f t="shared" si="19"/>
        <v/>
      </c>
      <c r="S437" s="2"/>
      <c r="T437" s="2"/>
      <c r="U437" s="2"/>
      <c r="V437" s="2"/>
      <c r="W437" s="2"/>
      <c r="X437" s="2"/>
      <c r="Y437" s="2"/>
      <c r="Z437" s="2"/>
    </row>
    <row r="438" spans="11:26" x14ac:dyDescent="0.25">
      <c r="K438" s="2">
        <v>424</v>
      </c>
      <c r="L438" s="2">
        <f t="shared" si="18"/>
        <v>236.50432787307273</v>
      </c>
      <c r="M438" s="2">
        <f t="shared" si="20"/>
        <v>0.99999999999999434</v>
      </c>
      <c r="N438" s="2" t="str">
        <f t="shared" si="19"/>
        <v/>
      </c>
      <c r="S438" s="2"/>
      <c r="T438" s="2"/>
      <c r="U438" s="2"/>
      <c r="V438" s="2"/>
      <c r="W438" s="2"/>
      <c r="X438" s="2"/>
      <c r="Y438" s="2"/>
      <c r="Z438" s="2"/>
    </row>
    <row r="439" spans="11:26" x14ac:dyDescent="0.25">
      <c r="K439" s="2">
        <v>425</v>
      </c>
      <c r="L439" s="2">
        <f t="shared" si="18"/>
        <v>237.03256968338911</v>
      </c>
      <c r="M439" s="2">
        <f t="shared" si="20"/>
        <v>0.99999999999999478</v>
      </c>
      <c r="N439" s="2" t="str">
        <f t="shared" si="19"/>
        <v/>
      </c>
      <c r="S439" s="2"/>
      <c r="T439" s="2"/>
      <c r="U439" s="2"/>
      <c r="V439" s="2"/>
      <c r="W439" s="2"/>
      <c r="X439" s="2"/>
      <c r="Y439" s="2"/>
      <c r="Z439" s="2"/>
    </row>
    <row r="440" spans="11:26" x14ac:dyDescent="0.25">
      <c r="K440" s="2">
        <v>426</v>
      </c>
      <c r="L440" s="2">
        <f t="shared" si="18"/>
        <v>237.56077824917253</v>
      </c>
      <c r="M440" s="2">
        <f t="shared" si="20"/>
        <v>0.99999999999999523</v>
      </c>
      <c r="N440" s="2" t="str">
        <f t="shared" si="19"/>
        <v/>
      </c>
      <c r="S440" s="2"/>
      <c r="T440" s="2"/>
      <c r="U440" s="2"/>
      <c r="V440" s="2"/>
      <c r="W440" s="2"/>
      <c r="X440" s="2"/>
      <c r="Y440" s="2"/>
      <c r="Z440" s="2"/>
    </row>
    <row r="441" spans="11:26" x14ac:dyDescent="0.25">
      <c r="K441" s="2">
        <v>427</v>
      </c>
      <c r="L441" s="2">
        <f t="shared" si="18"/>
        <v>238.08895368754875</v>
      </c>
      <c r="M441" s="2">
        <f t="shared" si="20"/>
        <v>0.99999999999999556</v>
      </c>
      <c r="N441" s="2" t="str">
        <f t="shared" si="19"/>
        <v/>
      </c>
      <c r="S441" s="2"/>
      <c r="T441" s="2"/>
      <c r="U441" s="2"/>
      <c r="V441" s="2"/>
      <c r="W441" s="2"/>
      <c r="X441" s="2"/>
      <c r="Y441" s="2"/>
      <c r="Z441" s="2"/>
    </row>
    <row r="442" spans="11:26" x14ac:dyDescent="0.25">
      <c r="K442" s="2">
        <v>428</v>
      </c>
      <c r="L442" s="2">
        <f t="shared" si="18"/>
        <v>238.61709611495732</v>
      </c>
      <c r="M442" s="2">
        <f t="shared" si="20"/>
        <v>0.999999999999996</v>
      </c>
      <c r="N442" s="2" t="str">
        <f t="shared" si="19"/>
        <v/>
      </c>
      <c r="S442" s="2"/>
      <c r="T442" s="2"/>
      <c r="U442" s="2"/>
      <c r="V442" s="2"/>
      <c r="W442" s="2"/>
      <c r="X442" s="2"/>
      <c r="Y442" s="2"/>
      <c r="Z442" s="2"/>
    </row>
    <row r="443" spans="11:26" x14ac:dyDescent="0.25">
      <c r="K443" s="2">
        <v>429</v>
      </c>
      <c r="L443" s="2">
        <f t="shared" si="18"/>
        <v>239.14520564715735</v>
      </c>
      <c r="M443" s="2">
        <f t="shared" si="20"/>
        <v>0.99999999999999623</v>
      </c>
      <c r="N443" s="2" t="str">
        <f t="shared" si="19"/>
        <v/>
      </c>
      <c r="S443" s="2"/>
      <c r="T443" s="2"/>
      <c r="U443" s="2"/>
      <c r="V443" s="2"/>
      <c r="W443" s="2"/>
      <c r="X443" s="2"/>
      <c r="Y443" s="2"/>
      <c r="Z443" s="2"/>
    </row>
    <row r="444" spans="11:26" x14ac:dyDescent="0.25">
      <c r="K444" s="2">
        <v>430</v>
      </c>
      <c r="L444" s="2">
        <f t="shared" si="18"/>
        <v>239.67328239923285</v>
      </c>
      <c r="M444" s="2">
        <f t="shared" si="20"/>
        <v>0.99999999999999656</v>
      </c>
      <c r="N444" s="2" t="str">
        <f t="shared" si="19"/>
        <v/>
      </c>
      <c r="S444" s="2"/>
      <c r="T444" s="2"/>
      <c r="U444" s="2"/>
      <c r="V444" s="2"/>
      <c r="W444" s="2"/>
      <c r="X444" s="2"/>
      <c r="Y444" s="2"/>
      <c r="Z444" s="2"/>
    </row>
    <row r="445" spans="11:26" x14ac:dyDescent="0.25">
      <c r="K445" s="2">
        <v>431</v>
      </c>
      <c r="L445" s="2">
        <f t="shared" si="18"/>
        <v>240.20132648559843</v>
      </c>
      <c r="M445" s="2">
        <f t="shared" si="20"/>
        <v>0.99999999999999689</v>
      </c>
      <c r="N445" s="2" t="str">
        <f t="shared" si="19"/>
        <v/>
      </c>
      <c r="S445" s="2"/>
      <c r="T445" s="2"/>
      <c r="U445" s="2"/>
      <c r="V445" s="2"/>
      <c r="W445" s="2"/>
      <c r="X445" s="2"/>
      <c r="Y445" s="2"/>
      <c r="Z445" s="2"/>
    </row>
    <row r="446" spans="11:26" x14ac:dyDescent="0.25">
      <c r="K446" s="2">
        <v>432</v>
      </c>
      <c r="L446" s="2">
        <f t="shared" si="18"/>
        <v>240.72933802000466</v>
      </c>
      <c r="M446" s="2">
        <f t="shared" si="20"/>
        <v>0.99999999999999711</v>
      </c>
      <c r="N446" s="2" t="str">
        <f t="shared" si="19"/>
        <v/>
      </c>
      <c r="S446" s="2"/>
      <c r="T446" s="2"/>
      <c r="U446" s="2"/>
      <c r="V446" s="2"/>
      <c r="W446" s="2"/>
      <c r="X446" s="2"/>
      <c r="Y446" s="2"/>
      <c r="Z446" s="2"/>
    </row>
    <row r="447" spans="11:26" x14ac:dyDescent="0.25">
      <c r="K447" s="2">
        <v>433</v>
      </c>
      <c r="L447" s="2">
        <f t="shared" si="18"/>
        <v>241.25731711554346</v>
      </c>
      <c r="M447" s="2">
        <f t="shared" si="20"/>
        <v>0.99999999999999734</v>
      </c>
      <c r="N447" s="2" t="str">
        <f t="shared" si="19"/>
        <v/>
      </c>
      <c r="S447" s="2"/>
      <c r="T447" s="2"/>
      <c r="U447" s="2"/>
      <c r="V447" s="2"/>
      <c r="W447" s="2"/>
      <c r="X447" s="2"/>
      <c r="Y447" s="2"/>
      <c r="Z447" s="2"/>
    </row>
    <row r="448" spans="11:26" x14ac:dyDescent="0.25">
      <c r="K448" s="2">
        <v>434</v>
      </c>
      <c r="L448" s="2">
        <f t="shared" si="18"/>
        <v>241.78526388465332</v>
      </c>
      <c r="M448" s="2">
        <f t="shared" si="20"/>
        <v>0.99999999999999756</v>
      </c>
      <c r="N448" s="2" t="str">
        <f t="shared" si="19"/>
        <v/>
      </c>
      <c r="S448" s="2"/>
      <c r="T448" s="2"/>
      <c r="U448" s="2"/>
      <c r="V448" s="2"/>
      <c r="W448" s="2"/>
      <c r="X448" s="2"/>
      <c r="Y448" s="2"/>
      <c r="Z448" s="2"/>
    </row>
    <row r="449" spans="11:26" x14ac:dyDescent="0.25">
      <c r="K449" s="2">
        <v>435</v>
      </c>
      <c r="L449" s="2">
        <f t="shared" si="18"/>
        <v>242.31317843912475</v>
      </c>
      <c r="M449" s="2">
        <f t="shared" si="20"/>
        <v>0.99999999999999778</v>
      </c>
      <c r="N449" s="2" t="str">
        <f t="shared" si="19"/>
        <v/>
      </c>
      <c r="S449" s="2"/>
      <c r="T449" s="2"/>
      <c r="U449" s="2"/>
      <c r="V449" s="2"/>
      <c r="W449" s="2"/>
      <c r="X449" s="2"/>
      <c r="Y449" s="2"/>
      <c r="Z449" s="2"/>
    </row>
    <row r="450" spans="11:26" x14ac:dyDescent="0.25">
      <c r="K450" s="2">
        <v>436</v>
      </c>
      <c r="L450" s="2">
        <f t="shared" si="18"/>
        <v>242.8410608901055</v>
      </c>
      <c r="M450" s="2">
        <f t="shared" si="20"/>
        <v>0.999999999999998</v>
      </c>
      <c r="N450" s="2" t="str">
        <f t="shared" si="19"/>
        <v/>
      </c>
      <c r="S450" s="2"/>
      <c r="T450" s="2"/>
      <c r="U450" s="2"/>
      <c r="V450" s="2"/>
      <c r="W450" s="2"/>
      <c r="X450" s="2"/>
      <c r="Y450" s="2"/>
      <c r="Z450" s="2"/>
    </row>
    <row r="451" spans="11:26" x14ac:dyDescent="0.25">
      <c r="K451" s="2">
        <v>437</v>
      </c>
      <c r="L451" s="2">
        <f t="shared" si="18"/>
        <v>243.36891134810543</v>
      </c>
      <c r="M451" s="2">
        <f t="shared" si="20"/>
        <v>0.99999999999999811</v>
      </c>
      <c r="N451" s="2" t="str">
        <f t="shared" si="19"/>
        <v/>
      </c>
      <c r="S451" s="2"/>
      <c r="T451" s="2"/>
      <c r="U451" s="2"/>
      <c r="V451" s="2"/>
      <c r="W451" s="2"/>
      <c r="X451" s="2"/>
      <c r="Y451" s="2"/>
      <c r="Z451" s="2"/>
    </row>
    <row r="452" spans="11:26" x14ac:dyDescent="0.25">
      <c r="K452" s="2">
        <v>438</v>
      </c>
      <c r="L452" s="2">
        <f t="shared" si="18"/>
        <v>243.89672992300206</v>
      </c>
      <c r="M452" s="2">
        <f t="shared" si="20"/>
        <v>0.99999999999999822</v>
      </c>
      <c r="N452" s="2" t="str">
        <f t="shared" si="19"/>
        <v/>
      </c>
      <c r="S452" s="2"/>
      <c r="T452" s="2"/>
      <c r="U452" s="2"/>
      <c r="V452" s="2"/>
      <c r="W452" s="2"/>
      <c r="X452" s="2"/>
      <c r="Y452" s="2"/>
      <c r="Z452" s="2"/>
    </row>
    <row r="453" spans="11:26" x14ac:dyDescent="0.25">
      <c r="K453" s="2">
        <v>439</v>
      </c>
      <c r="L453" s="2">
        <f t="shared" si="18"/>
        <v>244.42451672404525</v>
      </c>
      <c r="M453" s="2">
        <f t="shared" si="20"/>
        <v>0.99999999999999845</v>
      </c>
      <c r="N453" s="2" t="str">
        <f t="shared" si="19"/>
        <v/>
      </c>
      <c r="S453" s="2"/>
      <c r="T453" s="2"/>
      <c r="U453" s="2"/>
      <c r="V453" s="2"/>
      <c r="W453" s="2"/>
      <c r="X453" s="2"/>
      <c r="Y453" s="2"/>
      <c r="Z453" s="2"/>
    </row>
    <row r="454" spans="11:26" x14ac:dyDescent="0.25">
      <c r="K454" s="2">
        <v>440</v>
      </c>
      <c r="L454" s="2">
        <f t="shared" si="18"/>
        <v>244.95227185986241</v>
      </c>
      <c r="M454" s="2">
        <f t="shared" si="20"/>
        <v>0.99999999999999845</v>
      </c>
      <c r="N454" s="2" t="str">
        <f t="shared" si="19"/>
        <v/>
      </c>
      <c r="S454" s="2"/>
      <c r="T454" s="2"/>
      <c r="U454" s="2"/>
      <c r="V454" s="2"/>
      <c r="W454" s="2"/>
      <c r="X454" s="2"/>
      <c r="Y454" s="2"/>
      <c r="Z454" s="2"/>
    </row>
    <row r="455" spans="11:26" x14ac:dyDescent="0.25">
      <c r="K455" s="2">
        <v>441</v>
      </c>
      <c r="L455" s="2">
        <f t="shared" si="18"/>
        <v>245.47999543846339</v>
      </c>
      <c r="M455" s="2">
        <f t="shared" si="20"/>
        <v>0.99999999999999867</v>
      </c>
      <c r="N455" s="2" t="str">
        <f t="shared" si="19"/>
        <v/>
      </c>
      <c r="S455" s="2"/>
      <c r="T455" s="2"/>
      <c r="U455" s="2"/>
      <c r="V455" s="2"/>
      <c r="W455" s="2"/>
      <c r="X455" s="2"/>
      <c r="Y455" s="2"/>
      <c r="Z455" s="2"/>
    </row>
    <row r="456" spans="11:26" x14ac:dyDescent="0.25">
      <c r="K456" s="2">
        <v>442</v>
      </c>
      <c r="L456" s="2">
        <f t="shared" si="18"/>
        <v>246.00768756724537</v>
      </c>
      <c r="M456" s="2">
        <f t="shared" si="20"/>
        <v>0.99999999999999867</v>
      </c>
      <c r="N456" s="2" t="str">
        <f t="shared" si="19"/>
        <v/>
      </c>
      <c r="S456" s="2"/>
      <c r="T456" s="2"/>
      <c r="U456" s="2"/>
      <c r="V456" s="2"/>
      <c r="W456" s="2"/>
      <c r="X456" s="2"/>
      <c r="Y456" s="2"/>
      <c r="Z456" s="2"/>
    </row>
    <row r="457" spans="11:26" x14ac:dyDescent="0.25">
      <c r="K457" s="2">
        <v>443</v>
      </c>
      <c r="L457" s="2">
        <f t="shared" si="18"/>
        <v>246.5353483529978</v>
      </c>
      <c r="M457" s="2">
        <f t="shared" si="20"/>
        <v>0.99999999999999889</v>
      </c>
      <c r="N457" s="2" t="str">
        <f t="shared" si="19"/>
        <v/>
      </c>
      <c r="S457" s="2"/>
      <c r="T457" s="2"/>
      <c r="U457" s="2"/>
      <c r="V457" s="2"/>
      <c r="W457" s="2"/>
      <c r="X457" s="2"/>
      <c r="Y457" s="2"/>
      <c r="Z457" s="2"/>
    </row>
    <row r="458" spans="11:26" x14ac:dyDescent="0.25">
      <c r="K458" s="2">
        <v>444</v>
      </c>
      <c r="L458" s="2">
        <f t="shared" si="18"/>
        <v>247.06297790190709</v>
      </c>
      <c r="M458" s="2">
        <f t="shared" si="20"/>
        <v>0.99999999999999889</v>
      </c>
      <c r="N458" s="2" t="str">
        <f t="shared" si="19"/>
        <v/>
      </c>
      <c r="S458" s="2"/>
      <c r="T458" s="2"/>
      <c r="U458" s="2"/>
      <c r="V458" s="2"/>
      <c r="W458" s="2"/>
      <c r="X458" s="2"/>
      <c r="Y458" s="2"/>
      <c r="Z458" s="2"/>
    </row>
    <row r="459" spans="11:26" x14ac:dyDescent="0.25">
      <c r="K459" s="2">
        <v>445</v>
      </c>
      <c r="L459" s="2">
        <f t="shared" si="18"/>
        <v>247.59057631956142</v>
      </c>
      <c r="M459" s="2">
        <f t="shared" si="20"/>
        <v>0.999999999999999</v>
      </c>
      <c r="N459" s="2" t="str">
        <f t="shared" si="19"/>
        <v/>
      </c>
      <c r="S459" s="2"/>
      <c r="T459" s="2"/>
      <c r="U459" s="2"/>
      <c r="V459" s="2"/>
      <c r="W459" s="2"/>
      <c r="X459" s="2"/>
      <c r="Y459" s="2"/>
      <c r="Z459" s="2"/>
    </row>
    <row r="460" spans="11:26" x14ac:dyDescent="0.25">
      <c r="K460" s="2">
        <v>446</v>
      </c>
      <c r="L460" s="2">
        <f t="shared" si="18"/>
        <v>248.11814371095551</v>
      </c>
      <c r="M460" s="2">
        <f t="shared" si="20"/>
        <v>0.99999999999999911</v>
      </c>
      <c r="N460" s="2" t="str">
        <f t="shared" si="19"/>
        <v/>
      </c>
      <c r="S460" s="2"/>
      <c r="T460" s="2"/>
      <c r="U460" s="2"/>
      <c r="V460" s="2"/>
      <c r="W460" s="2"/>
      <c r="X460" s="2"/>
      <c r="Y460" s="2"/>
      <c r="Z460" s="2"/>
    </row>
    <row r="461" spans="11:26" x14ac:dyDescent="0.25">
      <c r="K461" s="2">
        <v>447</v>
      </c>
      <c r="L461" s="2">
        <f t="shared" si="18"/>
        <v>248.64568018049511</v>
      </c>
      <c r="M461" s="2">
        <f t="shared" si="20"/>
        <v>0.99999999999999911</v>
      </c>
      <c r="N461" s="2" t="str">
        <f t="shared" si="19"/>
        <v/>
      </c>
      <c r="S461" s="2"/>
      <c r="T461" s="2"/>
      <c r="U461" s="2"/>
      <c r="V461" s="2"/>
      <c r="W461" s="2"/>
      <c r="X461" s="2"/>
      <c r="Y461" s="2"/>
      <c r="Z461" s="2"/>
    </row>
    <row r="462" spans="11:26" x14ac:dyDescent="0.25">
      <c r="K462" s="2">
        <v>448</v>
      </c>
      <c r="L462" s="2">
        <f t="shared" si="18"/>
        <v>249.17318583200179</v>
      </c>
      <c r="M462" s="2">
        <f t="shared" si="20"/>
        <v>0.99999999999999922</v>
      </c>
      <c r="N462" s="2" t="str">
        <f t="shared" si="19"/>
        <v/>
      </c>
      <c r="S462" s="2"/>
      <c r="T462" s="2"/>
      <c r="U462" s="2"/>
      <c r="V462" s="2"/>
      <c r="W462" s="2"/>
      <c r="X462" s="2"/>
      <c r="Y462" s="2"/>
      <c r="Z462" s="2"/>
    </row>
    <row r="463" spans="11:26" x14ac:dyDescent="0.25">
      <c r="K463" s="2">
        <v>449</v>
      </c>
      <c r="L463" s="2">
        <f t="shared" si="18"/>
        <v>249.70066076871746</v>
      </c>
      <c r="M463" s="2">
        <f t="shared" si="20"/>
        <v>0.99999999999999933</v>
      </c>
      <c r="N463" s="2" t="str">
        <f t="shared" si="19"/>
        <v/>
      </c>
      <c r="S463" s="2"/>
      <c r="T463" s="2"/>
      <c r="U463" s="2"/>
      <c r="V463" s="2"/>
      <c r="W463" s="2"/>
      <c r="X463" s="2"/>
      <c r="Y463" s="2"/>
      <c r="Z463" s="2"/>
    </row>
    <row r="464" spans="11:26" x14ac:dyDescent="0.25">
      <c r="K464" s="2">
        <v>450</v>
      </c>
      <c r="L464" s="2">
        <f t="shared" ref="L464:L527" si="21">CHIINV($C$7,K464)/$J$15</f>
        <v>250.22810509330878</v>
      </c>
      <c r="M464" s="2">
        <f t="shared" si="20"/>
        <v>0.99999999999999933</v>
      </c>
      <c r="N464" s="2" t="str">
        <f t="shared" ref="N464:N514" si="22">IF(M464&lt;$C$11,K464,"")</f>
        <v/>
      </c>
      <c r="S464" s="2"/>
      <c r="T464" s="2"/>
      <c r="U464" s="2"/>
      <c r="V464" s="2"/>
      <c r="W464" s="2"/>
      <c r="X464" s="2"/>
      <c r="Y464" s="2"/>
      <c r="Z464" s="2"/>
    </row>
    <row r="465" spans="11:26" x14ac:dyDescent="0.25">
      <c r="K465" s="2">
        <v>451</v>
      </c>
      <c r="L465" s="2">
        <f t="shared" si="21"/>
        <v>250.75551890787185</v>
      </c>
      <c r="M465" s="2">
        <f t="shared" si="20"/>
        <v>0.99999999999999933</v>
      </c>
      <c r="N465" s="2" t="str">
        <f t="shared" si="22"/>
        <v/>
      </c>
      <c r="S465" s="2"/>
      <c r="T465" s="2"/>
      <c r="U465" s="2"/>
      <c r="V465" s="2"/>
      <c r="W465" s="2"/>
      <c r="X465" s="2"/>
      <c r="Y465" s="2"/>
      <c r="Z465" s="2"/>
    </row>
    <row r="466" spans="11:26" x14ac:dyDescent="0.25">
      <c r="K466" s="2">
        <v>452</v>
      </c>
      <c r="L466" s="2">
        <f t="shared" si="21"/>
        <v>251.28290231393635</v>
      </c>
      <c r="M466" s="2">
        <f t="shared" si="20"/>
        <v>0.99999999999999944</v>
      </c>
      <c r="N466" s="2" t="str">
        <f t="shared" si="22"/>
        <v/>
      </c>
      <c r="S466" s="2"/>
      <c r="T466" s="2"/>
      <c r="U466" s="2"/>
      <c r="V466" s="2"/>
      <c r="W466" s="2"/>
      <c r="X466" s="2"/>
      <c r="Y466" s="2"/>
      <c r="Z466" s="2"/>
    </row>
    <row r="467" spans="11:26" x14ac:dyDescent="0.25">
      <c r="K467" s="2">
        <v>453</v>
      </c>
      <c r="L467" s="2">
        <f t="shared" si="21"/>
        <v>251.81025541247027</v>
      </c>
      <c r="M467" s="2">
        <f t="shared" si="20"/>
        <v>0.99999999999999956</v>
      </c>
      <c r="N467" s="2" t="str">
        <f t="shared" si="22"/>
        <v/>
      </c>
      <c r="S467" s="2"/>
      <c r="T467" s="2"/>
      <c r="U467" s="2"/>
      <c r="V467" s="2"/>
      <c r="W467" s="2"/>
      <c r="X467" s="2"/>
      <c r="Y467" s="2"/>
      <c r="Z467" s="2"/>
    </row>
    <row r="468" spans="11:26" x14ac:dyDescent="0.25">
      <c r="K468" s="2">
        <v>454</v>
      </c>
      <c r="L468" s="2">
        <f t="shared" si="21"/>
        <v>252.33757830388396</v>
      </c>
      <c r="M468" s="2">
        <f t="shared" ref="M468:M514" si="23">CHIDIST(L468,K468)</f>
        <v>0.99999999999999956</v>
      </c>
      <c r="N468" s="2" t="str">
        <f t="shared" si="22"/>
        <v/>
      </c>
      <c r="S468" s="2"/>
      <c r="T468" s="2"/>
      <c r="U468" s="2"/>
      <c r="V468" s="2"/>
      <c r="W468" s="2"/>
      <c r="X468" s="2"/>
      <c r="Y468" s="2"/>
      <c r="Z468" s="2"/>
    </row>
    <row r="469" spans="11:26" x14ac:dyDescent="0.25">
      <c r="K469" s="2">
        <v>455</v>
      </c>
      <c r="L469" s="2">
        <f t="shared" si="21"/>
        <v>252.86487108803456</v>
      </c>
      <c r="M469" s="2">
        <f t="shared" si="23"/>
        <v>0.99999999999999956</v>
      </c>
      <c r="N469" s="2" t="str">
        <f t="shared" si="22"/>
        <v/>
      </c>
      <c r="S469" s="2"/>
      <c r="T469" s="2"/>
      <c r="U469" s="2"/>
      <c r="V469" s="2"/>
      <c r="W469" s="2"/>
      <c r="X469" s="2"/>
      <c r="Y469" s="2"/>
      <c r="Z469" s="2"/>
    </row>
    <row r="470" spans="11:26" x14ac:dyDescent="0.25">
      <c r="K470" s="2">
        <v>456</v>
      </c>
      <c r="L470" s="2">
        <f t="shared" si="21"/>
        <v>253.39213386423032</v>
      </c>
      <c r="M470" s="2">
        <f t="shared" si="23"/>
        <v>0.99999999999999956</v>
      </c>
      <c r="N470" s="2" t="str">
        <f t="shared" si="22"/>
        <v/>
      </c>
      <c r="S470" s="2"/>
      <c r="T470" s="2"/>
      <c r="U470" s="2"/>
      <c r="V470" s="2"/>
      <c r="W470" s="2"/>
      <c r="X470" s="2"/>
      <c r="Y470" s="2"/>
      <c r="Z470" s="2"/>
    </row>
    <row r="471" spans="11:26" x14ac:dyDescent="0.25">
      <c r="K471" s="2">
        <v>457</v>
      </c>
      <c r="L471" s="2">
        <f t="shared" si="21"/>
        <v>253.91936673123462</v>
      </c>
      <c r="M471" s="2">
        <f t="shared" si="23"/>
        <v>0.99999999999999967</v>
      </c>
      <c r="N471" s="2" t="str">
        <f t="shared" si="22"/>
        <v/>
      </c>
      <c r="S471" s="2"/>
      <c r="T471" s="2"/>
      <c r="U471" s="2"/>
      <c r="V471" s="2"/>
      <c r="W471" s="2"/>
      <c r="X471" s="2"/>
      <c r="Y471" s="2"/>
      <c r="Z471" s="2"/>
    </row>
    <row r="472" spans="11:26" x14ac:dyDescent="0.25">
      <c r="K472" s="2">
        <v>458</v>
      </c>
      <c r="L472" s="2">
        <f t="shared" si="21"/>
        <v>254.44656978727036</v>
      </c>
      <c r="M472" s="2">
        <f t="shared" si="23"/>
        <v>0.99999999999999967</v>
      </c>
      <c r="N472" s="2" t="str">
        <f t="shared" si="22"/>
        <v/>
      </c>
      <c r="S472" s="2"/>
      <c r="T472" s="2"/>
      <c r="U472" s="2"/>
      <c r="V472" s="2"/>
      <c r="W472" s="2"/>
      <c r="X472" s="2"/>
      <c r="Y472" s="2"/>
      <c r="Z472" s="2"/>
    </row>
    <row r="473" spans="11:26" x14ac:dyDescent="0.25">
      <c r="K473" s="2">
        <v>459</v>
      </c>
      <c r="L473" s="2">
        <f t="shared" si="21"/>
        <v>254.97374313002399</v>
      </c>
      <c r="M473" s="2">
        <f t="shared" si="23"/>
        <v>0.99999999999999978</v>
      </c>
      <c r="N473" s="2" t="str">
        <f t="shared" si="22"/>
        <v/>
      </c>
      <c r="S473" s="2"/>
      <c r="T473" s="2"/>
      <c r="U473" s="2"/>
      <c r="V473" s="2"/>
      <c r="W473" s="2"/>
      <c r="X473" s="2"/>
      <c r="Y473" s="2"/>
      <c r="Z473" s="2"/>
    </row>
    <row r="474" spans="11:26" x14ac:dyDescent="0.25">
      <c r="K474" s="2">
        <v>460</v>
      </c>
      <c r="L474" s="2">
        <f t="shared" si="21"/>
        <v>255.50088685664957</v>
      </c>
      <c r="M474" s="2">
        <f t="shared" si="23"/>
        <v>0.99999999999999978</v>
      </c>
      <c r="N474" s="2" t="str">
        <f t="shared" si="22"/>
        <v/>
      </c>
      <c r="S474" s="2"/>
      <c r="T474" s="2"/>
      <c r="U474" s="2"/>
      <c r="V474" s="2"/>
      <c r="W474" s="2"/>
      <c r="X474" s="2"/>
      <c r="Y474" s="2"/>
      <c r="Z474" s="2"/>
    </row>
    <row r="475" spans="11:26" x14ac:dyDescent="0.25">
      <c r="K475" s="2">
        <v>461</v>
      </c>
      <c r="L475" s="2">
        <f t="shared" si="21"/>
        <v>256.02800106377288</v>
      </c>
      <c r="M475" s="2">
        <f t="shared" si="23"/>
        <v>0.99999999999999978</v>
      </c>
      <c r="N475" s="2" t="str">
        <f t="shared" si="22"/>
        <v/>
      </c>
      <c r="S475" s="2"/>
      <c r="T475" s="2"/>
      <c r="U475" s="2"/>
      <c r="V475" s="2"/>
      <c r="W475" s="2"/>
      <c r="X475" s="2"/>
      <c r="Y475" s="2"/>
      <c r="Z475" s="2"/>
    </row>
    <row r="476" spans="11:26" x14ac:dyDescent="0.25">
      <c r="K476" s="2">
        <v>462</v>
      </c>
      <c r="L476" s="2">
        <f t="shared" si="21"/>
        <v>256.55508584749538</v>
      </c>
      <c r="M476" s="2">
        <f t="shared" si="23"/>
        <v>0.99999999999999978</v>
      </c>
      <c r="N476" s="2" t="str">
        <f t="shared" si="22"/>
        <v/>
      </c>
      <c r="S476" s="2"/>
      <c r="T476" s="2"/>
      <c r="U476" s="2"/>
      <c r="V476" s="2"/>
      <c r="W476" s="2"/>
      <c r="X476" s="2"/>
      <c r="Y476" s="2"/>
      <c r="Z476" s="2"/>
    </row>
    <row r="477" spans="11:26" x14ac:dyDescent="0.25">
      <c r="K477" s="2">
        <v>463</v>
      </c>
      <c r="L477" s="2">
        <f t="shared" si="21"/>
        <v>257.08214130339837</v>
      </c>
      <c r="M477" s="2">
        <f t="shared" si="23"/>
        <v>0.99999999999999978</v>
      </c>
      <c r="N477" s="2" t="str">
        <f t="shared" si="22"/>
        <v/>
      </c>
      <c r="S477" s="2"/>
      <c r="T477" s="2"/>
      <c r="U477" s="2"/>
      <c r="V477" s="2"/>
      <c r="W477" s="2"/>
      <c r="X477" s="2"/>
      <c r="Y477" s="2"/>
      <c r="Z477" s="2"/>
    </row>
    <row r="478" spans="11:26" x14ac:dyDescent="0.25">
      <c r="K478" s="2">
        <v>464</v>
      </c>
      <c r="L478" s="2">
        <f t="shared" si="21"/>
        <v>257.60916752654657</v>
      </c>
      <c r="M478" s="2">
        <f t="shared" si="23"/>
        <v>0.99999999999999978</v>
      </c>
      <c r="N478" s="2" t="str">
        <f t="shared" si="22"/>
        <v/>
      </c>
      <c r="S478" s="2"/>
      <c r="T478" s="2"/>
      <c r="U478" s="2"/>
      <c r="V478" s="2"/>
      <c r="W478" s="2"/>
      <c r="X478" s="2"/>
      <c r="Y478" s="2"/>
      <c r="Z478" s="2"/>
    </row>
    <row r="479" spans="11:26" x14ac:dyDescent="0.25">
      <c r="K479" s="2">
        <v>465</v>
      </c>
      <c r="L479" s="2">
        <f t="shared" si="21"/>
        <v>258.13616461149235</v>
      </c>
      <c r="M479" s="2">
        <f t="shared" si="23"/>
        <v>0.99999999999999978</v>
      </c>
      <c r="N479" s="2" t="str">
        <f t="shared" si="22"/>
        <v/>
      </c>
      <c r="S479" s="2"/>
      <c r="T479" s="2"/>
      <c r="U479" s="2"/>
      <c r="V479" s="2"/>
      <c r="W479" s="2"/>
      <c r="X479" s="2"/>
      <c r="Y479" s="2"/>
      <c r="Z479" s="2"/>
    </row>
    <row r="480" spans="11:26" x14ac:dyDescent="0.25">
      <c r="K480" s="2">
        <v>466</v>
      </c>
      <c r="L480" s="2">
        <f t="shared" si="21"/>
        <v>258.66313265227944</v>
      </c>
      <c r="M480" s="2">
        <f t="shared" si="23"/>
        <v>0.99999999999999978</v>
      </c>
      <c r="N480" s="2" t="str">
        <f t="shared" si="22"/>
        <v/>
      </c>
      <c r="S480" s="2"/>
      <c r="T480" s="2"/>
      <c r="U480" s="2"/>
      <c r="V480" s="2"/>
      <c r="W480" s="2"/>
      <c r="X480" s="2"/>
      <c r="Y480" s="2"/>
      <c r="Z480" s="2"/>
    </row>
    <row r="481" spans="11:26" x14ac:dyDescent="0.25">
      <c r="K481" s="2">
        <v>467</v>
      </c>
      <c r="L481" s="2">
        <f t="shared" si="21"/>
        <v>259.19007174244678</v>
      </c>
      <c r="M481" s="2">
        <f t="shared" si="23"/>
        <v>0.99999999999999978</v>
      </c>
      <c r="N481" s="2" t="str">
        <f t="shared" si="22"/>
        <v/>
      </c>
      <c r="S481" s="2"/>
      <c r="T481" s="2"/>
      <c r="U481" s="2"/>
      <c r="V481" s="2"/>
      <c r="W481" s="2"/>
      <c r="X481" s="2"/>
      <c r="Y481" s="2"/>
      <c r="Z481" s="2"/>
    </row>
    <row r="482" spans="11:26" x14ac:dyDescent="0.25">
      <c r="K482" s="2">
        <v>468</v>
      </c>
      <c r="L482" s="2">
        <f t="shared" si="21"/>
        <v>259.71698197503224</v>
      </c>
      <c r="M482" s="2">
        <f t="shared" si="23"/>
        <v>0.99999999999999978</v>
      </c>
      <c r="N482" s="2" t="str">
        <f t="shared" si="22"/>
        <v/>
      </c>
      <c r="S482" s="2"/>
      <c r="T482" s="2"/>
      <c r="U482" s="2"/>
      <c r="V482" s="2"/>
      <c r="W482" s="2"/>
      <c r="X482" s="2"/>
      <c r="Y482" s="2"/>
      <c r="Z482" s="2"/>
    </row>
    <row r="483" spans="11:26" x14ac:dyDescent="0.25">
      <c r="K483" s="2">
        <v>469</v>
      </c>
      <c r="L483" s="2">
        <f t="shared" si="21"/>
        <v>260.24386344257653</v>
      </c>
      <c r="M483" s="2">
        <f t="shared" si="23"/>
        <v>0.99999999999999989</v>
      </c>
      <c r="N483" s="2" t="str">
        <f t="shared" si="22"/>
        <v/>
      </c>
      <c r="S483" s="2"/>
      <c r="T483" s="2"/>
      <c r="U483" s="2"/>
      <c r="V483" s="2"/>
      <c r="W483" s="2"/>
      <c r="X483" s="2"/>
      <c r="Y483" s="2"/>
      <c r="Z483" s="2"/>
    </row>
    <row r="484" spans="11:26" x14ac:dyDescent="0.25">
      <c r="K484" s="2">
        <v>470</v>
      </c>
      <c r="L484" s="2">
        <f t="shared" si="21"/>
        <v>260.77071623712669</v>
      </c>
      <c r="M484" s="2">
        <f t="shared" si="23"/>
        <v>0.99999999999999989</v>
      </c>
      <c r="N484" s="2" t="str">
        <f t="shared" si="22"/>
        <v/>
      </c>
      <c r="S484" s="2"/>
      <c r="T484" s="2"/>
      <c r="U484" s="2"/>
      <c r="V484" s="2"/>
      <c r="W484" s="2"/>
      <c r="X484" s="2"/>
      <c r="Y484" s="2"/>
      <c r="Z484" s="2"/>
    </row>
    <row r="485" spans="11:26" x14ac:dyDescent="0.25">
      <c r="K485" s="2">
        <v>471</v>
      </c>
      <c r="L485" s="2">
        <f t="shared" si="21"/>
        <v>261.29754045024004</v>
      </c>
      <c r="M485" s="2">
        <f t="shared" si="23"/>
        <v>0.99999999999999989</v>
      </c>
      <c r="N485" s="2" t="str">
        <f t="shared" si="22"/>
        <v/>
      </c>
      <c r="S485" s="2"/>
      <c r="T485" s="2"/>
      <c r="U485" s="2"/>
      <c r="V485" s="2"/>
      <c r="W485" s="2"/>
      <c r="X485" s="2"/>
      <c r="Y485" s="2"/>
      <c r="Z485" s="2"/>
    </row>
    <row r="486" spans="11:26" x14ac:dyDescent="0.25">
      <c r="K486" s="2">
        <v>472</v>
      </c>
      <c r="L486" s="2">
        <f t="shared" si="21"/>
        <v>261.82433617298756</v>
      </c>
      <c r="M486" s="2">
        <f t="shared" si="23"/>
        <v>0.99999999999999989</v>
      </c>
      <c r="N486" s="2" t="str">
        <f t="shared" si="22"/>
        <v/>
      </c>
      <c r="S486" s="2"/>
      <c r="T486" s="2"/>
      <c r="U486" s="2"/>
      <c r="V486" s="2"/>
      <c r="W486" s="2"/>
      <c r="X486" s="2"/>
      <c r="Y486" s="2"/>
      <c r="Z486" s="2"/>
    </row>
    <row r="487" spans="11:26" x14ac:dyDescent="0.25">
      <c r="K487" s="2">
        <v>473</v>
      </c>
      <c r="L487" s="2">
        <f t="shared" si="21"/>
        <v>262.35110349595766</v>
      </c>
      <c r="M487" s="2">
        <f t="shared" si="23"/>
        <v>0.99999999999999989</v>
      </c>
      <c r="N487" s="2" t="str">
        <f t="shared" si="22"/>
        <v/>
      </c>
      <c r="S487" s="2"/>
      <c r="T487" s="2"/>
      <c r="U487" s="2"/>
      <c r="V487" s="2"/>
      <c r="W487" s="2"/>
      <c r="X487" s="2"/>
      <c r="Y487" s="2"/>
      <c r="Z487" s="2"/>
    </row>
    <row r="488" spans="11:26" x14ac:dyDescent="0.25">
      <c r="K488" s="2">
        <v>474</v>
      </c>
      <c r="L488" s="2">
        <f t="shared" si="21"/>
        <v>262.87784250925961</v>
      </c>
      <c r="M488" s="2">
        <f t="shared" si="23"/>
        <v>0.99999999999999989</v>
      </c>
      <c r="N488" s="2" t="str">
        <f t="shared" si="22"/>
        <v/>
      </c>
      <c r="S488" s="2"/>
      <c r="T488" s="2"/>
      <c r="U488" s="2"/>
      <c r="V488" s="2"/>
      <c r="W488" s="2"/>
      <c r="X488" s="2"/>
      <c r="Y488" s="2"/>
      <c r="Z488" s="2"/>
    </row>
    <row r="489" spans="11:26" x14ac:dyDescent="0.25">
      <c r="K489" s="2">
        <v>475</v>
      </c>
      <c r="L489" s="2">
        <f t="shared" si="21"/>
        <v>263.40455330252735</v>
      </c>
      <c r="M489" s="2">
        <f t="shared" si="23"/>
        <v>1</v>
      </c>
      <c r="N489" s="2" t="str">
        <f t="shared" si="22"/>
        <v/>
      </c>
      <c r="S489" s="2"/>
      <c r="T489" s="2"/>
      <c r="U489" s="2"/>
      <c r="V489" s="2"/>
      <c r="W489" s="2"/>
      <c r="X489" s="2"/>
      <c r="Y489" s="2"/>
      <c r="Z489" s="2"/>
    </row>
    <row r="490" spans="11:26" x14ac:dyDescent="0.25">
      <c r="K490" s="2">
        <v>476</v>
      </c>
      <c r="L490" s="2">
        <f t="shared" si="21"/>
        <v>263.93123596492256</v>
      </c>
      <c r="M490" s="2">
        <f t="shared" si="23"/>
        <v>1</v>
      </c>
      <c r="N490" s="2" t="str">
        <f t="shared" si="22"/>
        <v/>
      </c>
      <c r="S490" s="2"/>
      <c r="T490" s="2"/>
      <c r="U490" s="2"/>
      <c r="V490" s="2"/>
      <c r="W490" s="2"/>
      <c r="X490" s="2"/>
      <c r="Y490" s="2"/>
      <c r="Z490" s="2"/>
    </row>
    <row r="491" spans="11:26" x14ac:dyDescent="0.25">
      <c r="K491" s="2">
        <v>477</v>
      </c>
      <c r="L491" s="2">
        <f t="shared" si="21"/>
        <v>264.45789058513873</v>
      </c>
      <c r="M491" s="2">
        <f t="shared" si="23"/>
        <v>1</v>
      </c>
      <c r="N491" s="2" t="str">
        <f t="shared" si="22"/>
        <v/>
      </c>
      <c r="S491" s="2"/>
      <c r="T491" s="2"/>
      <c r="U491" s="2"/>
      <c r="V491" s="2"/>
      <c r="W491" s="2"/>
      <c r="X491" s="2"/>
      <c r="Y491" s="2"/>
      <c r="Z491" s="2"/>
    </row>
    <row r="492" spans="11:26" x14ac:dyDescent="0.25">
      <c r="K492" s="2">
        <v>478</v>
      </c>
      <c r="L492" s="2">
        <f t="shared" si="21"/>
        <v>264.98451725140387</v>
      </c>
      <c r="M492" s="2">
        <f t="shared" si="23"/>
        <v>1</v>
      </c>
      <c r="N492" s="2" t="str">
        <f t="shared" si="22"/>
        <v/>
      </c>
      <c r="S492" s="2"/>
      <c r="T492" s="2"/>
      <c r="U492" s="2"/>
      <c r="V492" s="2"/>
      <c r="W492" s="2"/>
      <c r="X492" s="2"/>
      <c r="Y492" s="2"/>
      <c r="Z492" s="2"/>
    </row>
    <row r="493" spans="11:26" x14ac:dyDescent="0.25">
      <c r="K493" s="2">
        <v>479</v>
      </c>
      <c r="L493" s="2">
        <f t="shared" si="21"/>
        <v>265.51111605148463</v>
      </c>
      <c r="M493" s="2">
        <f t="shared" si="23"/>
        <v>1</v>
      </c>
      <c r="N493" s="2" t="str">
        <f t="shared" si="22"/>
        <v/>
      </c>
      <c r="S493" s="2"/>
      <c r="T493" s="2"/>
      <c r="U493" s="2"/>
      <c r="V493" s="2"/>
      <c r="W493" s="2"/>
      <c r="X493" s="2"/>
      <c r="Y493" s="2"/>
      <c r="Z493" s="2"/>
    </row>
    <row r="494" spans="11:26" x14ac:dyDescent="0.25">
      <c r="K494" s="2">
        <v>480</v>
      </c>
      <c r="L494" s="2">
        <f t="shared" si="21"/>
        <v>266.03768707268921</v>
      </c>
      <c r="M494" s="2">
        <f t="shared" si="23"/>
        <v>1</v>
      </c>
      <c r="N494" s="2" t="str">
        <f t="shared" si="22"/>
        <v/>
      </c>
      <c r="S494" s="2"/>
      <c r="T494" s="2"/>
      <c r="U494" s="2"/>
      <c r="V494" s="2"/>
      <c r="W494" s="2"/>
      <c r="X494" s="2"/>
      <c r="Y494" s="2"/>
      <c r="Z494" s="2"/>
    </row>
    <row r="495" spans="11:26" x14ac:dyDescent="0.25">
      <c r="K495" s="2">
        <v>481</v>
      </c>
      <c r="L495" s="2">
        <f t="shared" si="21"/>
        <v>266.56423040187087</v>
      </c>
      <c r="M495" s="2">
        <f t="shared" si="23"/>
        <v>1</v>
      </c>
      <c r="N495" s="2" t="str">
        <f t="shared" si="22"/>
        <v/>
      </c>
      <c r="S495" s="2"/>
      <c r="T495" s="2"/>
      <c r="U495" s="2"/>
      <c r="V495" s="2"/>
      <c r="W495" s="2"/>
      <c r="X495" s="2"/>
      <c r="Y495" s="2"/>
      <c r="Z495" s="2"/>
    </row>
    <row r="496" spans="11:26" x14ac:dyDescent="0.25">
      <c r="K496" s="2">
        <v>482</v>
      </c>
      <c r="L496" s="2">
        <f t="shared" si="21"/>
        <v>267.09074612543111</v>
      </c>
      <c r="M496" s="2">
        <f t="shared" si="23"/>
        <v>1</v>
      </c>
      <c r="N496" s="2" t="str">
        <f t="shared" si="22"/>
        <v/>
      </c>
      <c r="S496" s="2"/>
      <c r="T496" s="2"/>
      <c r="U496" s="2"/>
      <c r="V496" s="2"/>
      <c r="W496" s="2"/>
      <c r="X496" s="2"/>
      <c r="Y496" s="2"/>
      <c r="Z496" s="2"/>
    </row>
    <row r="497" spans="11:26" x14ac:dyDescent="0.25">
      <c r="K497" s="2">
        <v>483</v>
      </c>
      <c r="L497" s="2">
        <f t="shared" si="21"/>
        <v>267.61723432932325</v>
      </c>
      <c r="M497" s="2">
        <f t="shared" si="23"/>
        <v>1</v>
      </c>
      <c r="N497" s="2" t="str">
        <f t="shared" si="22"/>
        <v/>
      </c>
      <c r="S497" s="2"/>
      <c r="T497" s="2"/>
      <c r="U497" s="2"/>
      <c r="V497" s="2"/>
      <c r="W497" s="2"/>
      <c r="X497" s="2"/>
      <c r="Y497" s="2"/>
      <c r="Z497" s="2"/>
    </row>
    <row r="498" spans="11:26" x14ac:dyDescent="0.25">
      <c r="K498" s="2">
        <v>484</v>
      </c>
      <c r="L498" s="2">
        <f t="shared" si="21"/>
        <v>268.14369509905538</v>
      </c>
      <c r="M498" s="2">
        <f t="shared" si="23"/>
        <v>1</v>
      </c>
      <c r="N498" s="2" t="str">
        <f t="shared" si="22"/>
        <v/>
      </c>
      <c r="S498" s="2"/>
      <c r="T498" s="2"/>
      <c r="U498" s="2"/>
      <c r="V498" s="2"/>
      <c r="W498" s="2"/>
      <c r="X498" s="2"/>
      <c r="Y498" s="2"/>
      <c r="Z498" s="2"/>
    </row>
    <row r="499" spans="11:26" x14ac:dyDescent="0.25">
      <c r="K499" s="2">
        <v>485</v>
      </c>
      <c r="L499" s="2">
        <f t="shared" si="21"/>
        <v>268.67012851969366</v>
      </c>
      <c r="M499" s="2">
        <f t="shared" si="23"/>
        <v>1</v>
      </c>
      <c r="N499" s="2" t="str">
        <f t="shared" si="22"/>
        <v/>
      </c>
      <c r="S499" s="2"/>
      <c r="T499" s="2"/>
      <c r="U499" s="2"/>
      <c r="V499" s="2"/>
      <c r="W499" s="2"/>
      <c r="X499" s="2"/>
      <c r="Y499" s="2"/>
      <c r="Z499" s="2"/>
    </row>
    <row r="500" spans="11:26" x14ac:dyDescent="0.25">
      <c r="K500" s="2">
        <v>486</v>
      </c>
      <c r="L500" s="2">
        <f t="shared" si="21"/>
        <v>269.19653467586562</v>
      </c>
      <c r="M500" s="2">
        <f t="shared" si="23"/>
        <v>1</v>
      </c>
      <c r="N500" s="2" t="str">
        <f t="shared" si="22"/>
        <v/>
      </c>
      <c r="S500" s="2"/>
      <c r="T500" s="2"/>
      <c r="U500" s="2"/>
      <c r="V500" s="2"/>
      <c r="W500" s="2"/>
      <c r="X500" s="2"/>
      <c r="Y500" s="2"/>
      <c r="Z500" s="2"/>
    </row>
    <row r="501" spans="11:26" x14ac:dyDescent="0.25">
      <c r="K501" s="2">
        <v>487</v>
      </c>
      <c r="L501" s="2">
        <f t="shared" si="21"/>
        <v>269.72291365176318</v>
      </c>
      <c r="M501" s="2">
        <f t="shared" si="23"/>
        <v>1</v>
      </c>
      <c r="N501" s="2" t="str">
        <f t="shared" si="22"/>
        <v/>
      </c>
      <c r="S501" s="2"/>
      <c r="T501" s="2"/>
      <c r="U501" s="2"/>
      <c r="V501" s="2"/>
      <c r="W501" s="2"/>
      <c r="X501" s="2"/>
      <c r="Y501" s="2"/>
      <c r="Z501" s="2"/>
    </row>
    <row r="502" spans="11:26" x14ac:dyDescent="0.25">
      <c r="K502" s="2">
        <v>488</v>
      </c>
      <c r="L502" s="2">
        <f t="shared" si="21"/>
        <v>270.24926553114591</v>
      </c>
      <c r="M502" s="2">
        <f t="shared" si="23"/>
        <v>1</v>
      </c>
      <c r="N502" s="2" t="str">
        <f t="shared" si="22"/>
        <v/>
      </c>
      <c r="S502" s="2"/>
      <c r="T502" s="2"/>
      <c r="U502" s="2"/>
      <c r="V502" s="2"/>
      <c r="W502" s="2"/>
      <c r="X502" s="2"/>
      <c r="Y502" s="2"/>
      <c r="Z502" s="2"/>
    </row>
    <row r="503" spans="11:26" x14ac:dyDescent="0.25">
      <c r="K503" s="2">
        <v>489</v>
      </c>
      <c r="L503" s="2">
        <f t="shared" si="21"/>
        <v>270.77559039734399</v>
      </c>
      <c r="M503" s="2">
        <f t="shared" si="23"/>
        <v>1</v>
      </c>
      <c r="N503" s="2" t="str">
        <f t="shared" si="22"/>
        <v/>
      </c>
      <c r="S503" s="2"/>
      <c r="T503" s="2"/>
      <c r="U503" s="2"/>
      <c r="V503" s="2"/>
      <c r="W503" s="2"/>
      <c r="X503" s="2"/>
      <c r="Y503" s="2"/>
      <c r="Z503" s="2"/>
    </row>
    <row r="504" spans="11:26" x14ac:dyDescent="0.25">
      <c r="K504" s="2">
        <v>490</v>
      </c>
      <c r="L504" s="2">
        <f t="shared" si="21"/>
        <v>271.30188833326145</v>
      </c>
      <c r="M504" s="2">
        <f t="shared" si="23"/>
        <v>1</v>
      </c>
      <c r="N504" s="2" t="str">
        <f t="shared" si="22"/>
        <v/>
      </c>
      <c r="S504" s="2"/>
      <c r="T504" s="2"/>
      <c r="U504" s="2"/>
      <c r="V504" s="2"/>
      <c r="W504" s="2"/>
      <c r="X504" s="2"/>
      <c r="Y504" s="2"/>
      <c r="Z504" s="2"/>
    </row>
    <row r="505" spans="11:26" x14ac:dyDescent="0.25">
      <c r="K505" s="2">
        <v>491</v>
      </c>
      <c r="L505" s="2">
        <f t="shared" si="21"/>
        <v>271.82815942137898</v>
      </c>
      <c r="M505" s="2">
        <f t="shared" si="23"/>
        <v>1</v>
      </c>
      <c r="N505" s="2" t="str">
        <f t="shared" si="22"/>
        <v/>
      </c>
      <c r="S505" s="2"/>
      <c r="T505" s="2"/>
      <c r="U505" s="2"/>
      <c r="V505" s="2"/>
      <c r="W505" s="2"/>
      <c r="X505" s="2"/>
      <c r="Y505" s="2"/>
      <c r="Z505" s="2"/>
    </row>
    <row r="506" spans="11:26" x14ac:dyDescent="0.25">
      <c r="K506" s="2">
        <v>492</v>
      </c>
      <c r="L506" s="2">
        <f t="shared" si="21"/>
        <v>272.3544037437573</v>
      </c>
      <c r="M506" s="2">
        <f t="shared" si="23"/>
        <v>1</v>
      </c>
      <c r="N506" s="2" t="str">
        <f t="shared" si="22"/>
        <v/>
      </c>
      <c r="S506" s="2"/>
      <c r="T506" s="2"/>
      <c r="U506" s="2"/>
      <c r="V506" s="2"/>
      <c r="W506" s="2"/>
      <c r="X506" s="2"/>
      <c r="Y506" s="2"/>
      <c r="Z506" s="2"/>
    </row>
    <row r="507" spans="11:26" x14ac:dyDescent="0.25">
      <c r="K507" s="2">
        <v>493</v>
      </c>
      <c r="L507" s="2">
        <f t="shared" si="21"/>
        <v>272.88062138203969</v>
      </c>
      <c r="M507" s="2">
        <f t="shared" si="23"/>
        <v>1</v>
      </c>
      <c r="N507" s="2" t="str">
        <f t="shared" si="22"/>
        <v/>
      </c>
      <c r="S507" s="2"/>
      <c r="T507" s="2"/>
      <c r="U507" s="2"/>
      <c r="V507" s="2"/>
      <c r="W507" s="2"/>
      <c r="X507" s="2"/>
      <c r="Y507" s="2"/>
      <c r="Z507" s="2"/>
    </row>
    <row r="508" spans="11:26" x14ac:dyDescent="0.25">
      <c r="K508" s="2">
        <v>494</v>
      </c>
      <c r="L508" s="2">
        <f t="shared" si="21"/>
        <v>273.40681241745551</v>
      </c>
      <c r="M508" s="2">
        <f t="shared" si="23"/>
        <v>1</v>
      </c>
      <c r="N508" s="2" t="str">
        <f t="shared" si="22"/>
        <v/>
      </c>
      <c r="S508" s="2"/>
      <c r="T508" s="2"/>
      <c r="U508" s="2"/>
      <c r="V508" s="2"/>
      <c r="W508" s="2"/>
      <c r="X508" s="2"/>
      <c r="Y508" s="2"/>
      <c r="Z508" s="2"/>
    </row>
    <row r="509" spans="11:26" x14ac:dyDescent="0.25">
      <c r="K509" s="2">
        <v>495</v>
      </c>
      <c r="L509" s="2">
        <f t="shared" si="21"/>
        <v>273.93297693082258</v>
      </c>
      <c r="M509" s="2">
        <f t="shared" si="23"/>
        <v>1</v>
      </c>
      <c r="N509" s="2" t="str">
        <f t="shared" si="22"/>
        <v/>
      </c>
      <c r="S509" s="2"/>
      <c r="T509" s="2"/>
      <c r="U509" s="2"/>
      <c r="V509" s="2"/>
      <c r="W509" s="2"/>
      <c r="X509" s="2"/>
      <c r="Y509" s="2"/>
      <c r="Z509" s="2"/>
    </row>
    <row r="510" spans="11:26" x14ac:dyDescent="0.25">
      <c r="K510" s="2">
        <v>496</v>
      </c>
      <c r="L510" s="2">
        <f t="shared" si="21"/>
        <v>274.45911500255045</v>
      </c>
      <c r="M510" s="2">
        <f t="shared" si="23"/>
        <v>1</v>
      </c>
      <c r="N510" s="2" t="str">
        <f t="shared" si="22"/>
        <v/>
      </c>
      <c r="S510" s="2"/>
      <c r="T510" s="2"/>
      <c r="U510" s="2"/>
      <c r="V510" s="2"/>
      <c r="W510" s="2"/>
      <c r="X510" s="2"/>
      <c r="Y510" s="2"/>
      <c r="Z510" s="2"/>
    </row>
    <row r="511" spans="11:26" x14ac:dyDescent="0.25">
      <c r="K511" s="2">
        <v>497</v>
      </c>
      <c r="L511" s="2">
        <f t="shared" si="21"/>
        <v>274.98522671264317</v>
      </c>
      <c r="M511" s="2">
        <f t="shared" si="23"/>
        <v>1</v>
      </c>
      <c r="N511" s="2" t="str">
        <f t="shared" si="22"/>
        <v/>
      </c>
      <c r="S511" s="2"/>
      <c r="T511" s="2"/>
      <c r="U511" s="2"/>
      <c r="V511" s="2"/>
      <c r="W511" s="2"/>
      <c r="X511" s="2"/>
      <c r="Y511" s="2"/>
      <c r="Z511" s="2"/>
    </row>
    <row r="512" spans="11:26" x14ac:dyDescent="0.25">
      <c r="K512" s="2">
        <v>498</v>
      </c>
      <c r="L512" s="2">
        <f t="shared" si="21"/>
        <v>275.51131214070216</v>
      </c>
      <c r="M512" s="2">
        <f t="shared" si="23"/>
        <v>1</v>
      </c>
      <c r="N512" s="2" t="str">
        <f t="shared" si="22"/>
        <v/>
      </c>
      <c r="S512" s="2"/>
      <c r="T512" s="2"/>
      <c r="U512" s="2"/>
      <c r="V512" s="2"/>
      <c r="W512" s="2"/>
      <c r="X512" s="2"/>
      <c r="Y512" s="2"/>
      <c r="Z512" s="2"/>
    </row>
    <row r="513" spans="11:26" x14ac:dyDescent="0.25">
      <c r="K513" s="2">
        <v>499</v>
      </c>
      <c r="L513" s="2">
        <f t="shared" si="21"/>
        <v>276.03737136592906</v>
      </c>
      <c r="M513" s="2">
        <f t="shared" si="23"/>
        <v>1</v>
      </c>
      <c r="N513" s="2" t="str">
        <f t="shared" si="22"/>
        <v/>
      </c>
      <c r="S513" s="2"/>
      <c r="T513" s="2"/>
      <c r="U513" s="2"/>
      <c r="V513" s="2"/>
      <c r="W513" s="2"/>
      <c r="X513" s="2"/>
      <c r="Y513" s="2"/>
      <c r="Z513" s="2"/>
    </row>
    <row r="514" spans="11:26" x14ac:dyDescent="0.25">
      <c r="K514" s="2">
        <v>500</v>
      </c>
      <c r="L514" s="2">
        <f t="shared" si="21"/>
        <v>276.56340446712846</v>
      </c>
      <c r="M514" s="2">
        <f t="shared" si="23"/>
        <v>1</v>
      </c>
      <c r="N514" s="2" t="str">
        <f t="shared" si="22"/>
        <v/>
      </c>
      <c r="S514" s="2"/>
      <c r="T514" s="2"/>
      <c r="U514" s="2"/>
      <c r="V514" s="2"/>
      <c r="W514" s="2"/>
      <c r="X514" s="2"/>
      <c r="Y514" s="2"/>
      <c r="Z514" s="2"/>
    </row>
    <row r="515" spans="11:26" x14ac:dyDescent="0.25">
      <c r="K515" s="2">
        <v>501</v>
      </c>
      <c r="L515" s="2">
        <f t="shared" si="21"/>
        <v>277.08941152271075</v>
      </c>
      <c r="M515" s="2">
        <f>CHIDIST(L515,K515)</f>
        <v>1</v>
      </c>
      <c r="N515" s="2" t="str">
        <f>IF(M515&lt;$C$11,K515,"")</f>
        <v/>
      </c>
      <c r="S515" s="2"/>
      <c r="T515" s="2"/>
      <c r="U515" s="2"/>
      <c r="V515" s="2"/>
      <c r="W515" s="2"/>
      <c r="X515" s="2"/>
      <c r="Y515" s="2"/>
      <c r="Z515" s="2"/>
    </row>
    <row r="516" spans="11:26" x14ac:dyDescent="0.25">
      <c r="K516" s="2">
        <v>502</v>
      </c>
      <c r="L516" s="2">
        <f t="shared" si="21"/>
        <v>277.61539261069481</v>
      </c>
      <c r="M516" s="2">
        <f>CHIDIST(L516,K516)</f>
        <v>1</v>
      </c>
      <c r="N516" s="2" t="str">
        <f>IF(M516&lt;$C$11,K516,"")</f>
        <v/>
      </c>
      <c r="S516" s="2"/>
      <c r="T516" s="2"/>
      <c r="U516" s="2"/>
      <c r="V516" s="2"/>
      <c r="W516" s="2"/>
      <c r="X516" s="2"/>
      <c r="Y516" s="2"/>
      <c r="Z516" s="2"/>
    </row>
    <row r="517" spans="11:26" x14ac:dyDescent="0.25">
      <c r="K517" s="2">
        <v>503</v>
      </c>
      <c r="L517" s="2">
        <f t="shared" si="21"/>
        <v>278.14134780871092</v>
      </c>
      <c r="M517" s="2">
        <f>CHIDIST(L517,K517)</f>
        <v>1</v>
      </c>
      <c r="N517" s="2" t="str">
        <f>IF(M517&lt;$C$11,K517,"")</f>
        <v/>
      </c>
      <c r="S517" s="2"/>
      <c r="T517" s="2"/>
      <c r="U517" s="2"/>
      <c r="V517" s="2"/>
      <c r="W517" s="2"/>
      <c r="X517" s="2"/>
      <c r="Y517" s="2"/>
      <c r="Z517" s="2"/>
    </row>
    <row r="518" spans="11:26" x14ac:dyDescent="0.25">
      <c r="K518" s="2">
        <v>504</v>
      </c>
      <c r="L518" s="2">
        <f t="shared" si="21"/>
        <v>278.66727719400319</v>
      </c>
      <c r="M518" s="2">
        <f>CHIDIST(L518,K518)</f>
        <v>1</v>
      </c>
      <c r="N518" s="2" t="str">
        <f>IF(M518&lt;$C$11,K518,"")</f>
        <v/>
      </c>
      <c r="S518" s="2"/>
      <c r="T518" s="2"/>
      <c r="U518" s="2"/>
      <c r="V518" s="2"/>
      <c r="W518" s="2"/>
      <c r="X518" s="2"/>
      <c r="Y518" s="2"/>
      <c r="Z518" s="2"/>
    </row>
    <row r="519" spans="11:26" x14ac:dyDescent="0.25">
      <c r="K519" s="2">
        <v>505</v>
      </c>
      <c r="L519" s="2">
        <f t="shared" si="21"/>
        <v>279.19318084343251</v>
      </c>
      <c r="M519" s="2">
        <f>CHIDIST(L519,K519)</f>
        <v>1</v>
      </c>
      <c r="N519" s="2" t="str">
        <f>IF(M519&lt;$C$11,K519,"")</f>
        <v/>
      </c>
      <c r="S519" s="2"/>
      <c r="T519" s="2"/>
      <c r="U519" s="2"/>
      <c r="V519" s="2"/>
      <c r="W519" s="2"/>
      <c r="X519" s="2"/>
      <c r="Y519" s="2"/>
      <c r="Z519" s="2"/>
    </row>
    <row r="520" spans="11:26" x14ac:dyDescent="0.25">
      <c r="K520" s="2">
        <v>506</v>
      </c>
      <c r="L520" s="2">
        <f t="shared" si="21"/>
        <v>279.71905883347898</v>
      </c>
      <c r="M520" s="2">
        <f t="shared" ref="M520:M541" si="24">CHIDIST(L520,K520)</f>
        <v>1</v>
      </c>
      <c r="N520" s="2" t="str">
        <f t="shared" ref="N520:N541" si="25">IF(M520&lt;$C$11,K520,"")</f>
        <v/>
      </c>
      <c r="S520" s="2"/>
      <c r="T520" s="2"/>
      <c r="U520" s="2"/>
      <c r="V520" s="2"/>
      <c r="W520" s="2"/>
      <c r="X520" s="2"/>
      <c r="Y520" s="2"/>
      <c r="Z520" s="2"/>
    </row>
    <row r="521" spans="11:26" x14ac:dyDescent="0.25">
      <c r="K521" s="2">
        <v>507</v>
      </c>
      <c r="L521" s="2">
        <f t="shared" si="21"/>
        <v>280.24491124024473</v>
      </c>
      <c r="M521" s="2">
        <f t="shared" si="24"/>
        <v>1</v>
      </c>
      <c r="N521" s="2" t="str">
        <f t="shared" si="25"/>
        <v/>
      </c>
      <c r="S521" s="2"/>
      <c r="T521" s="2"/>
      <c r="U521" s="2"/>
      <c r="V521" s="2"/>
      <c r="W521" s="2"/>
      <c r="X521" s="2"/>
      <c r="Y521" s="2"/>
      <c r="Z521" s="2"/>
    </row>
    <row r="522" spans="11:26" x14ac:dyDescent="0.25">
      <c r="K522" s="2">
        <v>508</v>
      </c>
      <c r="L522" s="2">
        <f t="shared" si="21"/>
        <v>280.77073813945634</v>
      </c>
      <c r="M522" s="2">
        <f t="shared" si="24"/>
        <v>1</v>
      </c>
      <c r="N522" s="2" t="str">
        <f t="shared" si="25"/>
        <v/>
      </c>
      <c r="S522" s="2"/>
      <c r="T522" s="2"/>
      <c r="U522" s="2"/>
      <c r="V522" s="2"/>
      <c r="W522" s="2"/>
      <c r="X522" s="2"/>
      <c r="Y522" s="2"/>
      <c r="Z522" s="2"/>
    </row>
    <row r="523" spans="11:26" x14ac:dyDescent="0.25">
      <c r="K523" s="2">
        <v>509</v>
      </c>
      <c r="L523" s="2">
        <f t="shared" si="21"/>
        <v>281.29653960646766</v>
      </c>
      <c r="M523" s="2">
        <f t="shared" si="24"/>
        <v>1</v>
      </c>
      <c r="N523" s="2" t="str">
        <f t="shared" si="25"/>
        <v/>
      </c>
      <c r="S523" s="2"/>
      <c r="T523" s="2"/>
      <c r="U523" s="2"/>
      <c r="V523" s="2"/>
      <c r="W523" s="2"/>
      <c r="X523" s="2"/>
      <c r="Y523" s="2"/>
      <c r="Z523" s="2"/>
    </row>
    <row r="524" spans="11:26" x14ac:dyDescent="0.25">
      <c r="K524" s="2">
        <v>510</v>
      </c>
      <c r="L524" s="2">
        <f t="shared" si="21"/>
        <v>281.82231571626221</v>
      </c>
      <c r="M524" s="2">
        <f t="shared" si="24"/>
        <v>1</v>
      </c>
      <c r="N524" s="2" t="str">
        <f t="shared" si="25"/>
        <v/>
      </c>
      <c r="S524" s="2"/>
      <c r="T524" s="2"/>
      <c r="U524" s="2"/>
      <c r="V524" s="2"/>
      <c r="W524" s="2"/>
      <c r="X524" s="2"/>
      <c r="Y524" s="2"/>
      <c r="Z524" s="2"/>
    </row>
    <row r="525" spans="11:26" x14ac:dyDescent="0.25">
      <c r="K525" s="2">
        <v>511</v>
      </c>
      <c r="L525" s="2">
        <f t="shared" si="21"/>
        <v>282.34806654345579</v>
      </c>
      <c r="M525" s="2">
        <f t="shared" si="24"/>
        <v>1</v>
      </c>
      <c r="N525" s="2" t="str">
        <f t="shared" si="25"/>
        <v/>
      </c>
      <c r="S525" s="2"/>
      <c r="T525" s="2"/>
      <c r="U525" s="2"/>
      <c r="V525" s="2"/>
      <c r="W525" s="2"/>
      <c r="X525" s="2"/>
      <c r="Y525" s="2"/>
      <c r="Z525" s="2"/>
    </row>
    <row r="526" spans="11:26" x14ac:dyDescent="0.25">
      <c r="K526" s="2">
        <v>512</v>
      </c>
      <c r="L526" s="2">
        <f t="shared" si="21"/>
        <v>282.87379216229886</v>
      </c>
      <c r="M526" s="2">
        <f t="shared" si="24"/>
        <v>1</v>
      </c>
      <c r="N526" s="2" t="str">
        <f t="shared" si="25"/>
        <v/>
      </c>
      <c r="S526" s="2"/>
      <c r="T526" s="2"/>
      <c r="U526" s="2"/>
      <c r="V526" s="2"/>
      <c r="W526" s="2"/>
      <c r="X526" s="2"/>
      <c r="Y526" s="2"/>
      <c r="Z526" s="2"/>
    </row>
    <row r="527" spans="11:26" x14ac:dyDescent="0.25">
      <c r="K527" s="2">
        <v>513</v>
      </c>
      <c r="L527" s="2">
        <f t="shared" si="21"/>
        <v>283.39949264667922</v>
      </c>
      <c r="M527" s="2">
        <f t="shared" si="24"/>
        <v>1</v>
      </c>
      <c r="N527" s="2" t="str">
        <f t="shared" si="25"/>
        <v/>
      </c>
      <c r="S527" s="2"/>
      <c r="T527" s="2"/>
      <c r="U527" s="2"/>
      <c r="V527" s="2"/>
      <c r="W527" s="2"/>
      <c r="X527" s="2"/>
      <c r="Y527" s="2"/>
      <c r="Z527" s="2"/>
    </row>
    <row r="528" spans="11:26" x14ac:dyDescent="0.25">
      <c r="K528" s="2">
        <v>514</v>
      </c>
      <c r="L528" s="2">
        <f t="shared" ref="L528:L591" si="26">CHIINV($C$7,K528)/$J$15</f>
        <v>283.92516807012458</v>
      </c>
      <c r="M528" s="2">
        <f t="shared" si="24"/>
        <v>1</v>
      </c>
      <c r="N528" s="2" t="str">
        <f t="shared" si="25"/>
        <v/>
      </c>
      <c r="S528" s="2"/>
      <c r="T528" s="2"/>
      <c r="U528" s="2"/>
      <c r="V528" s="2"/>
      <c r="W528" s="2"/>
      <c r="X528" s="2"/>
      <c r="Y528" s="2"/>
      <c r="Z528" s="2"/>
    </row>
    <row r="529" spans="11:26" x14ac:dyDescent="0.25">
      <c r="K529" s="2">
        <v>515</v>
      </c>
      <c r="L529" s="2">
        <f t="shared" si="26"/>
        <v>284.45081850580459</v>
      </c>
      <c r="M529" s="2">
        <f t="shared" si="24"/>
        <v>1</v>
      </c>
      <c r="N529" s="2" t="str">
        <f t="shared" si="25"/>
        <v/>
      </c>
      <c r="S529" s="2"/>
      <c r="T529" s="2"/>
      <c r="U529" s="2"/>
      <c r="V529" s="2"/>
      <c r="W529" s="2"/>
      <c r="X529" s="2"/>
      <c r="Y529" s="2"/>
      <c r="Z529" s="2"/>
    </row>
    <row r="530" spans="11:26" x14ac:dyDescent="0.25">
      <c r="K530" s="2">
        <v>516</v>
      </c>
      <c r="L530" s="2">
        <f t="shared" si="26"/>
        <v>284.97644402653373</v>
      </c>
      <c r="M530" s="2">
        <f t="shared" si="24"/>
        <v>1</v>
      </c>
      <c r="N530" s="2" t="str">
        <f t="shared" si="25"/>
        <v/>
      </c>
      <c r="S530" s="2"/>
      <c r="T530" s="2"/>
      <c r="U530" s="2"/>
      <c r="V530" s="2"/>
      <c r="W530" s="2"/>
      <c r="X530" s="2"/>
      <c r="Y530" s="2"/>
      <c r="Z530" s="2"/>
    </row>
    <row r="531" spans="11:26" x14ac:dyDescent="0.25">
      <c r="K531" s="2">
        <v>517</v>
      </c>
      <c r="L531" s="2">
        <f t="shared" si="26"/>
        <v>285.50204470477337</v>
      </c>
      <c r="M531" s="2">
        <f t="shared" si="24"/>
        <v>1</v>
      </c>
      <c r="N531" s="2" t="str">
        <f t="shared" si="25"/>
        <v/>
      </c>
      <c r="S531" s="2"/>
      <c r="T531" s="2"/>
      <c r="U531" s="2"/>
      <c r="V531" s="2"/>
      <c r="W531" s="2"/>
      <c r="X531" s="2"/>
      <c r="Y531" s="2"/>
      <c r="Z531" s="2"/>
    </row>
    <row r="532" spans="11:26" x14ac:dyDescent="0.25">
      <c r="K532" s="2">
        <v>518</v>
      </c>
      <c r="L532" s="2">
        <f t="shared" si="26"/>
        <v>286.02762061263445</v>
      </c>
      <c r="M532" s="2">
        <f t="shared" si="24"/>
        <v>1</v>
      </c>
      <c r="N532" s="2" t="str">
        <f t="shared" si="25"/>
        <v/>
      </c>
      <c r="S532" s="2"/>
      <c r="T532" s="2"/>
      <c r="U532" s="2"/>
      <c r="V532" s="2"/>
      <c r="W532" s="2"/>
      <c r="X532" s="2"/>
      <c r="Y532" s="2"/>
      <c r="Z532" s="2"/>
    </row>
    <row r="533" spans="11:26" x14ac:dyDescent="0.25">
      <c r="K533" s="2">
        <v>519</v>
      </c>
      <c r="L533" s="2">
        <f t="shared" si="26"/>
        <v>286.55317182187969</v>
      </c>
      <c r="M533" s="2">
        <f t="shared" si="24"/>
        <v>1</v>
      </c>
      <c r="N533" s="2" t="str">
        <f t="shared" si="25"/>
        <v/>
      </c>
      <c r="S533" s="2"/>
      <c r="T533" s="2"/>
      <c r="U533" s="2"/>
      <c r="V533" s="2"/>
      <c r="W533" s="2"/>
      <c r="X533" s="2"/>
      <c r="Y533" s="2"/>
      <c r="Z533" s="2"/>
    </row>
    <row r="534" spans="11:26" x14ac:dyDescent="0.25">
      <c r="K534" s="2">
        <v>520</v>
      </c>
      <c r="L534" s="2">
        <f t="shared" si="26"/>
        <v>287.07869840392596</v>
      </c>
      <c r="M534" s="2">
        <f t="shared" si="24"/>
        <v>1</v>
      </c>
      <c r="N534" s="2" t="str">
        <f t="shared" si="25"/>
        <v/>
      </c>
      <c r="S534" s="2"/>
      <c r="T534" s="2"/>
      <c r="U534" s="2"/>
      <c r="V534" s="2"/>
      <c r="W534" s="2"/>
      <c r="X534" s="2"/>
      <c r="Y534" s="2"/>
      <c r="Z534" s="2"/>
    </row>
    <row r="535" spans="11:26" x14ac:dyDescent="0.25">
      <c r="K535" s="2">
        <v>521</v>
      </c>
      <c r="L535" s="2">
        <f t="shared" si="26"/>
        <v>287.60420042984651</v>
      </c>
      <c r="M535" s="2">
        <f t="shared" si="24"/>
        <v>1</v>
      </c>
      <c r="N535" s="2" t="str">
        <f t="shared" si="25"/>
        <v/>
      </c>
      <c r="S535" s="2"/>
      <c r="T535" s="2"/>
      <c r="U535" s="2"/>
      <c r="V535" s="2"/>
      <c r="W535" s="2"/>
      <c r="X535" s="2"/>
      <c r="Y535" s="2"/>
      <c r="Z535" s="2"/>
    </row>
    <row r="536" spans="11:26" x14ac:dyDescent="0.25">
      <c r="K536" s="2">
        <v>522</v>
      </c>
      <c r="L536" s="2">
        <f t="shared" si="26"/>
        <v>288.12967797037362</v>
      </c>
      <c r="M536" s="2">
        <f t="shared" si="24"/>
        <v>1</v>
      </c>
      <c r="N536" s="2" t="str">
        <f t="shared" si="25"/>
        <v/>
      </c>
      <c r="S536" s="2"/>
      <c r="T536" s="2"/>
      <c r="U536" s="2"/>
      <c r="V536" s="2"/>
      <c r="W536" s="2"/>
      <c r="X536" s="2"/>
      <c r="Y536" s="2"/>
      <c r="Z536" s="2"/>
    </row>
    <row r="537" spans="11:26" x14ac:dyDescent="0.25">
      <c r="K537" s="2">
        <v>523</v>
      </c>
      <c r="L537" s="2">
        <f t="shared" si="26"/>
        <v>288.6551310959004</v>
      </c>
      <c r="M537" s="2">
        <f t="shared" si="24"/>
        <v>1</v>
      </c>
      <c r="N537" s="2" t="str">
        <f t="shared" si="25"/>
        <v/>
      </c>
      <c r="S537" s="2"/>
      <c r="T537" s="2"/>
      <c r="U537" s="2"/>
      <c r="V537" s="2"/>
      <c r="W537" s="2"/>
      <c r="X537" s="2"/>
      <c r="Y537" s="2"/>
      <c r="Z537" s="2"/>
    </row>
    <row r="538" spans="11:26" x14ac:dyDescent="0.25">
      <c r="K538" s="2">
        <v>524</v>
      </c>
      <c r="L538" s="2">
        <f t="shared" si="26"/>
        <v>289.18055987648347</v>
      </c>
      <c r="M538" s="2">
        <f t="shared" si="24"/>
        <v>1</v>
      </c>
      <c r="N538" s="2" t="str">
        <f t="shared" si="25"/>
        <v/>
      </c>
      <c r="S538" s="2"/>
      <c r="T538" s="2"/>
      <c r="U538" s="2"/>
      <c r="V538" s="2"/>
      <c r="W538" s="2"/>
      <c r="X538" s="2"/>
      <c r="Y538" s="2"/>
      <c r="Z538" s="2"/>
    </row>
    <row r="539" spans="11:26" x14ac:dyDescent="0.25">
      <c r="K539" s="2">
        <v>525</v>
      </c>
      <c r="L539" s="2">
        <f t="shared" si="26"/>
        <v>289.70596438184504</v>
      </c>
      <c r="M539" s="2">
        <f t="shared" si="24"/>
        <v>1</v>
      </c>
      <c r="N539" s="2" t="str">
        <f t="shared" si="25"/>
        <v/>
      </c>
      <c r="S539" s="2"/>
      <c r="T539" s="2"/>
      <c r="U539" s="2"/>
      <c r="V539" s="2"/>
      <c r="W539" s="2"/>
      <c r="X539" s="2"/>
      <c r="Y539" s="2"/>
      <c r="Z539" s="2"/>
    </row>
    <row r="540" spans="11:26" x14ac:dyDescent="0.25">
      <c r="K540" s="2">
        <v>526</v>
      </c>
      <c r="L540" s="2">
        <f t="shared" si="26"/>
        <v>290.23134468137511</v>
      </c>
      <c r="M540" s="2">
        <f t="shared" si="24"/>
        <v>1</v>
      </c>
      <c r="N540" s="2" t="str">
        <f t="shared" si="25"/>
        <v/>
      </c>
      <c r="S540" s="2"/>
      <c r="T540" s="2"/>
      <c r="U540" s="2"/>
      <c r="V540" s="2"/>
      <c r="W540" s="2"/>
      <c r="X540" s="2"/>
      <c r="Y540" s="2"/>
      <c r="Z540" s="2"/>
    </row>
    <row r="541" spans="11:26" x14ac:dyDescent="0.25">
      <c r="K541" s="2">
        <v>527</v>
      </c>
      <c r="L541" s="2">
        <f t="shared" si="26"/>
        <v>290.75670084413372</v>
      </c>
      <c r="M541" s="2">
        <f t="shared" si="24"/>
        <v>1</v>
      </c>
      <c r="N541" s="2" t="str">
        <f t="shared" si="25"/>
        <v/>
      </c>
      <c r="S541" s="2"/>
      <c r="T541" s="2"/>
      <c r="U541" s="2"/>
      <c r="V541" s="2"/>
      <c r="W541" s="2"/>
      <c r="X541" s="2"/>
      <c r="Y541" s="2"/>
      <c r="Z541" s="2"/>
    </row>
    <row r="542" spans="11:26" x14ac:dyDescent="0.25">
      <c r="K542" s="2">
        <v>528</v>
      </c>
      <c r="L542" s="2">
        <f t="shared" si="26"/>
        <v>291.28203293885321</v>
      </c>
      <c r="M542" s="2">
        <f t="shared" ref="M542:M605" si="27">CHIDIST(L542,K542)</f>
        <v>1</v>
      </c>
      <c r="N542" s="2" t="str">
        <f t="shared" ref="N542:N605" si="28">IF(M542&lt;$C$11,K542,"")</f>
        <v/>
      </c>
      <c r="S542" s="2"/>
      <c r="T542" s="2"/>
      <c r="U542" s="2"/>
      <c r="V542" s="2"/>
      <c r="W542" s="2"/>
      <c r="X542" s="2"/>
      <c r="Y542" s="2"/>
      <c r="Z542" s="2"/>
    </row>
    <row r="543" spans="11:26" x14ac:dyDescent="0.25">
      <c r="K543" s="2">
        <v>529</v>
      </c>
      <c r="L543" s="2">
        <f t="shared" si="26"/>
        <v>291.80734103394019</v>
      </c>
      <c r="M543" s="2">
        <f t="shared" si="27"/>
        <v>1</v>
      </c>
      <c r="N543" s="2" t="str">
        <f t="shared" si="28"/>
        <v/>
      </c>
      <c r="S543" s="2"/>
      <c r="T543" s="2"/>
      <c r="U543" s="2"/>
      <c r="V543" s="2"/>
      <c r="W543" s="2"/>
      <c r="X543" s="2"/>
      <c r="Y543" s="2"/>
      <c r="Z543" s="2"/>
    </row>
    <row r="544" spans="11:26" x14ac:dyDescent="0.25">
      <c r="K544" s="2">
        <v>530</v>
      </c>
      <c r="L544" s="2">
        <f t="shared" si="26"/>
        <v>292.33262519747802</v>
      </c>
      <c r="M544" s="2">
        <f t="shared" si="27"/>
        <v>1</v>
      </c>
      <c r="N544" s="2" t="str">
        <f t="shared" si="28"/>
        <v/>
      </c>
      <c r="S544" s="2"/>
      <c r="T544" s="2"/>
      <c r="U544" s="2"/>
      <c r="V544" s="2"/>
      <c r="W544" s="2"/>
      <c r="X544" s="2"/>
      <c r="Y544" s="2"/>
      <c r="Z544" s="2"/>
    </row>
    <row r="545" spans="11:26" x14ac:dyDescent="0.25">
      <c r="K545" s="2">
        <v>531</v>
      </c>
      <c r="L545" s="2">
        <f t="shared" si="26"/>
        <v>292.85788549722872</v>
      </c>
      <c r="M545" s="2">
        <f t="shared" si="27"/>
        <v>1</v>
      </c>
      <c r="N545" s="2" t="str">
        <f t="shared" si="28"/>
        <v/>
      </c>
      <c r="S545" s="2"/>
      <c r="T545" s="2"/>
      <c r="U545" s="2"/>
      <c r="V545" s="2"/>
      <c r="W545" s="2"/>
      <c r="X545" s="2"/>
      <c r="Y545" s="2"/>
      <c r="Z545" s="2"/>
    </row>
    <row r="546" spans="11:26" x14ac:dyDescent="0.25">
      <c r="K546" s="2">
        <v>532</v>
      </c>
      <c r="L546" s="2">
        <f t="shared" si="26"/>
        <v>293.38312200063496</v>
      </c>
      <c r="M546" s="2">
        <f t="shared" si="27"/>
        <v>1</v>
      </c>
      <c r="N546" s="2" t="str">
        <f t="shared" si="28"/>
        <v/>
      </c>
      <c r="S546" s="2"/>
      <c r="T546" s="2"/>
      <c r="U546" s="2"/>
      <c r="V546" s="2"/>
      <c r="W546" s="2"/>
      <c r="X546" s="2"/>
      <c r="Y546" s="2"/>
      <c r="Z546" s="2"/>
    </row>
    <row r="547" spans="11:26" x14ac:dyDescent="0.25">
      <c r="K547" s="2">
        <v>533</v>
      </c>
      <c r="L547" s="2">
        <f t="shared" si="26"/>
        <v>293.90833477482255</v>
      </c>
      <c r="M547" s="2">
        <f t="shared" si="27"/>
        <v>1</v>
      </c>
      <c r="N547" s="2" t="str">
        <f t="shared" si="28"/>
        <v/>
      </c>
      <c r="S547" s="2"/>
      <c r="T547" s="2"/>
      <c r="U547" s="2"/>
      <c r="V547" s="2"/>
      <c r="W547" s="2"/>
      <c r="X547" s="2"/>
      <c r="Y547" s="2"/>
      <c r="Z547" s="2"/>
    </row>
    <row r="548" spans="11:26" x14ac:dyDescent="0.25">
      <c r="K548" s="2">
        <v>534</v>
      </c>
      <c r="L548" s="2">
        <f t="shared" si="26"/>
        <v>294.43352388660219</v>
      </c>
      <c r="M548" s="2">
        <f t="shared" si="27"/>
        <v>1</v>
      </c>
      <c r="N548" s="2" t="str">
        <f t="shared" si="28"/>
        <v/>
      </c>
      <c r="S548" s="2"/>
      <c r="T548" s="2"/>
      <c r="U548" s="2"/>
      <c r="V548" s="2"/>
      <c r="W548" s="2"/>
      <c r="X548" s="2"/>
      <c r="Y548" s="2"/>
      <c r="Z548" s="2"/>
    </row>
    <row r="549" spans="11:26" x14ac:dyDescent="0.25">
      <c r="K549" s="2">
        <v>535</v>
      </c>
      <c r="L549" s="2">
        <f t="shared" si="26"/>
        <v>294.95868940247163</v>
      </c>
      <c r="M549" s="2">
        <f t="shared" si="27"/>
        <v>1</v>
      </c>
      <c r="N549" s="2" t="str">
        <f t="shared" si="28"/>
        <v/>
      </c>
      <c r="S549" s="2"/>
      <c r="T549" s="2"/>
      <c r="U549" s="2"/>
      <c r="V549" s="2"/>
      <c r="W549" s="2"/>
      <c r="X549" s="2"/>
      <c r="Y549" s="2"/>
      <c r="Z549" s="2"/>
    </row>
    <row r="550" spans="11:26" x14ac:dyDescent="0.25">
      <c r="K550" s="2">
        <v>536</v>
      </c>
      <c r="L550" s="2">
        <f t="shared" si="26"/>
        <v>295.48383138861789</v>
      </c>
      <c r="M550" s="2">
        <f t="shared" si="27"/>
        <v>1</v>
      </c>
      <c r="N550" s="2" t="str">
        <f t="shared" si="28"/>
        <v/>
      </c>
      <c r="S550" s="2"/>
      <c r="T550" s="2"/>
      <c r="U550" s="2"/>
      <c r="V550" s="2"/>
      <c r="W550" s="2"/>
      <c r="X550" s="2"/>
      <c r="Y550" s="2"/>
      <c r="Z550" s="2"/>
    </row>
    <row r="551" spans="11:26" x14ac:dyDescent="0.25">
      <c r="K551" s="2">
        <v>537</v>
      </c>
      <c r="L551" s="2">
        <f t="shared" si="26"/>
        <v>296.00894991091894</v>
      </c>
      <c r="M551" s="2">
        <f t="shared" si="27"/>
        <v>1</v>
      </c>
      <c r="N551" s="2" t="str">
        <f t="shared" si="28"/>
        <v/>
      </c>
      <c r="S551" s="2"/>
      <c r="T551" s="2"/>
      <c r="U551" s="2"/>
      <c r="V551" s="2"/>
      <c r="W551" s="2"/>
      <c r="X551" s="2"/>
      <c r="Y551" s="2"/>
      <c r="Z551" s="2"/>
    </row>
    <row r="552" spans="11:26" x14ac:dyDescent="0.25">
      <c r="K552" s="2">
        <v>538</v>
      </c>
      <c r="L552" s="2">
        <f t="shared" si="26"/>
        <v>296.53404503494608</v>
      </c>
      <c r="M552" s="2">
        <f t="shared" si="27"/>
        <v>1</v>
      </c>
      <c r="N552" s="2" t="str">
        <f t="shared" si="28"/>
        <v/>
      </c>
      <c r="S552" s="2"/>
      <c r="T552" s="2"/>
      <c r="U552" s="2"/>
      <c r="V552" s="2"/>
      <c r="W552" s="2"/>
      <c r="X552" s="2"/>
      <c r="Y552" s="2"/>
      <c r="Z552" s="2"/>
    </row>
    <row r="553" spans="11:26" x14ac:dyDescent="0.25">
      <c r="K553" s="2">
        <v>539</v>
      </c>
      <c r="L553" s="2">
        <f t="shared" si="26"/>
        <v>297.0591168259657</v>
      </c>
      <c r="M553" s="2">
        <f t="shared" si="27"/>
        <v>1</v>
      </c>
      <c r="N553" s="2" t="str">
        <f t="shared" si="28"/>
        <v/>
      </c>
      <c r="S553" s="2"/>
      <c r="T553" s="2"/>
      <c r="U553" s="2"/>
      <c r="V553" s="2"/>
      <c r="W553" s="2"/>
      <c r="X553" s="2"/>
      <c r="Y553" s="2"/>
      <c r="Z553" s="2"/>
    </row>
    <row r="554" spans="11:26" x14ac:dyDescent="0.25">
      <c r="K554" s="2">
        <v>540</v>
      </c>
      <c r="L554" s="2">
        <f t="shared" si="26"/>
        <v>297.58416534894127</v>
      </c>
      <c r="M554" s="2">
        <f t="shared" si="27"/>
        <v>1</v>
      </c>
      <c r="N554" s="2" t="str">
        <f t="shared" si="28"/>
        <v/>
      </c>
      <c r="S554" s="2"/>
      <c r="T554" s="2"/>
      <c r="U554" s="2"/>
      <c r="V554" s="2"/>
      <c r="W554" s="2"/>
      <c r="X554" s="2"/>
      <c r="Y554" s="2"/>
      <c r="Z554" s="2"/>
    </row>
    <row r="555" spans="11:26" x14ac:dyDescent="0.25">
      <c r="K555" s="2">
        <v>541</v>
      </c>
      <c r="L555" s="2">
        <f t="shared" si="26"/>
        <v>298.10919066853546</v>
      </c>
      <c r="M555" s="2">
        <f t="shared" si="27"/>
        <v>1</v>
      </c>
      <c r="N555" s="2" t="str">
        <f t="shared" si="28"/>
        <v/>
      </c>
      <c r="S555" s="2"/>
      <c r="T555" s="2"/>
      <c r="U555" s="2"/>
      <c r="V555" s="2"/>
      <c r="W555" s="2"/>
      <c r="X555" s="2"/>
      <c r="Y555" s="2"/>
      <c r="Z555" s="2"/>
    </row>
    <row r="556" spans="11:26" x14ac:dyDescent="0.25">
      <c r="K556" s="2">
        <v>542</v>
      </c>
      <c r="L556" s="2">
        <f t="shared" si="26"/>
        <v>298.63419284911197</v>
      </c>
      <c r="M556" s="2">
        <f t="shared" si="27"/>
        <v>1</v>
      </c>
      <c r="N556" s="2" t="str">
        <f t="shared" si="28"/>
        <v/>
      </c>
      <c r="S556" s="2"/>
      <c r="T556" s="2"/>
      <c r="U556" s="2"/>
      <c r="V556" s="2"/>
      <c r="W556" s="2"/>
      <c r="X556" s="2"/>
      <c r="Y556" s="2"/>
      <c r="Z556" s="2"/>
    </row>
    <row r="557" spans="11:26" x14ac:dyDescent="0.25">
      <c r="K557" s="2">
        <v>543</v>
      </c>
      <c r="L557" s="2">
        <f t="shared" si="26"/>
        <v>299.15917195473747</v>
      </c>
      <c r="M557" s="2">
        <f t="shared" si="27"/>
        <v>1</v>
      </c>
      <c r="N557" s="2" t="str">
        <f t="shared" si="28"/>
        <v/>
      </c>
      <c r="S557" s="2"/>
      <c r="T557" s="2"/>
      <c r="U557" s="2"/>
      <c r="V557" s="2"/>
      <c r="W557" s="2"/>
      <c r="X557" s="2"/>
      <c r="Y557" s="2"/>
      <c r="Z557" s="2"/>
    </row>
    <row r="558" spans="11:26" x14ac:dyDescent="0.25">
      <c r="K558" s="2">
        <v>544</v>
      </c>
      <c r="L558" s="2">
        <f t="shared" si="26"/>
        <v>299.68412804918358</v>
      </c>
      <c r="M558" s="2">
        <f t="shared" si="27"/>
        <v>1</v>
      </c>
      <c r="N558" s="2" t="str">
        <f t="shared" si="28"/>
        <v/>
      </c>
      <c r="S558" s="2"/>
      <c r="T558" s="2"/>
      <c r="U558" s="2"/>
      <c r="V558" s="2"/>
      <c r="W558" s="2"/>
      <c r="X558" s="2"/>
      <c r="Y558" s="2"/>
      <c r="Z558" s="2"/>
    </row>
    <row r="559" spans="11:26" x14ac:dyDescent="0.25">
      <c r="K559" s="2">
        <v>545</v>
      </c>
      <c r="L559" s="2">
        <f t="shared" si="26"/>
        <v>300.2090611959286</v>
      </c>
      <c r="M559" s="2">
        <f t="shared" si="27"/>
        <v>1</v>
      </c>
      <c r="N559" s="2" t="str">
        <f t="shared" si="28"/>
        <v/>
      </c>
      <c r="S559" s="2"/>
      <c r="T559" s="2"/>
      <c r="U559" s="2"/>
      <c r="V559" s="2"/>
      <c r="W559" s="2"/>
      <c r="X559" s="2"/>
      <c r="Y559" s="2"/>
      <c r="Z559" s="2"/>
    </row>
    <row r="560" spans="11:26" x14ac:dyDescent="0.25">
      <c r="K560" s="2">
        <v>546</v>
      </c>
      <c r="L560" s="2">
        <f t="shared" si="26"/>
        <v>300.7339714581596</v>
      </c>
      <c r="M560" s="2">
        <f t="shared" si="27"/>
        <v>1</v>
      </c>
      <c r="N560" s="2" t="str">
        <f t="shared" si="28"/>
        <v/>
      </c>
      <c r="S560" s="2"/>
      <c r="T560" s="2"/>
      <c r="U560" s="2"/>
      <c r="V560" s="2"/>
      <c r="W560" s="2"/>
      <c r="X560" s="2"/>
      <c r="Y560" s="2"/>
      <c r="Z560" s="2"/>
    </row>
    <row r="561" spans="11:26" x14ac:dyDescent="0.25">
      <c r="K561" s="2">
        <v>547</v>
      </c>
      <c r="L561" s="2">
        <f t="shared" si="26"/>
        <v>301.25885889877424</v>
      </c>
      <c r="M561" s="2">
        <f t="shared" si="27"/>
        <v>1</v>
      </c>
      <c r="N561" s="2" t="str">
        <f t="shared" si="28"/>
        <v/>
      </c>
      <c r="S561" s="2"/>
      <c r="T561" s="2"/>
      <c r="U561" s="2"/>
      <c r="V561" s="2"/>
      <c r="W561" s="2"/>
      <c r="X561" s="2"/>
      <c r="Y561" s="2"/>
      <c r="Z561" s="2"/>
    </row>
    <row r="562" spans="11:26" x14ac:dyDescent="0.25">
      <c r="K562" s="2">
        <v>548</v>
      </c>
      <c r="L562" s="2">
        <f t="shared" si="26"/>
        <v>301.78372358038251</v>
      </c>
      <c r="M562" s="2">
        <f t="shared" si="27"/>
        <v>1</v>
      </c>
      <c r="N562" s="2" t="str">
        <f t="shared" si="28"/>
        <v/>
      </c>
      <c r="S562" s="2"/>
      <c r="T562" s="2"/>
      <c r="U562" s="2"/>
      <c r="V562" s="2"/>
      <c r="W562" s="2"/>
      <c r="X562" s="2"/>
      <c r="Y562" s="2"/>
      <c r="Z562" s="2"/>
    </row>
    <row r="563" spans="11:26" x14ac:dyDescent="0.25">
      <c r="K563" s="2">
        <v>549</v>
      </c>
      <c r="L563" s="2">
        <f t="shared" si="26"/>
        <v>302.30856556530864</v>
      </c>
      <c r="M563" s="2">
        <f t="shared" si="27"/>
        <v>1</v>
      </c>
      <c r="N563" s="2" t="str">
        <f t="shared" si="28"/>
        <v/>
      </c>
      <c r="S563" s="2"/>
      <c r="T563" s="2"/>
      <c r="U563" s="2"/>
      <c r="V563" s="2"/>
      <c r="W563" s="2"/>
      <c r="X563" s="2"/>
      <c r="Y563" s="2"/>
      <c r="Z563" s="2"/>
    </row>
    <row r="564" spans="11:26" x14ac:dyDescent="0.25">
      <c r="K564" s="2">
        <v>550</v>
      </c>
      <c r="L564" s="2">
        <f t="shared" si="26"/>
        <v>302.833384915593</v>
      </c>
      <c r="M564" s="2">
        <f t="shared" si="27"/>
        <v>1</v>
      </c>
      <c r="N564" s="2" t="str">
        <f t="shared" si="28"/>
        <v/>
      </c>
      <c r="S564" s="2"/>
      <c r="T564" s="2"/>
      <c r="U564" s="2"/>
      <c r="V564" s="2"/>
      <c r="W564" s="2"/>
      <c r="X564" s="2"/>
      <c r="Y564" s="2"/>
      <c r="Z564" s="2"/>
    </row>
    <row r="565" spans="11:26" x14ac:dyDescent="0.25">
      <c r="K565" s="2">
        <v>551</v>
      </c>
      <c r="L565" s="2">
        <f t="shared" si="26"/>
        <v>303.3581816929937</v>
      </c>
      <c r="M565" s="2">
        <f t="shared" si="27"/>
        <v>1</v>
      </c>
      <c r="N565" s="2" t="str">
        <f t="shared" si="28"/>
        <v/>
      </c>
      <c r="S565" s="2"/>
      <c r="T565" s="2"/>
      <c r="U565" s="2"/>
      <c r="V565" s="2"/>
      <c r="W565" s="2"/>
      <c r="X565" s="2"/>
      <c r="Y565" s="2"/>
      <c r="Z565" s="2"/>
    </row>
    <row r="566" spans="11:26" x14ac:dyDescent="0.25">
      <c r="K566" s="2">
        <v>552</v>
      </c>
      <c r="L566" s="2">
        <f t="shared" si="26"/>
        <v>303.8829559589887</v>
      </c>
      <c r="M566" s="2">
        <f t="shared" si="27"/>
        <v>1</v>
      </c>
      <c r="N566" s="2" t="str">
        <f t="shared" si="28"/>
        <v/>
      </c>
      <c r="S566" s="2"/>
      <c r="T566" s="2"/>
      <c r="U566" s="2"/>
      <c r="V566" s="2"/>
      <c r="W566" s="2"/>
      <c r="X566" s="2"/>
      <c r="Y566" s="2"/>
      <c r="Z566" s="2"/>
    </row>
    <row r="567" spans="11:26" x14ac:dyDescent="0.25">
      <c r="K567" s="2">
        <v>553</v>
      </c>
      <c r="L567" s="2">
        <f t="shared" si="26"/>
        <v>304.40770777477718</v>
      </c>
      <c r="M567" s="2">
        <f t="shared" si="27"/>
        <v>1</v>
      </c>
      <c r="N567" s="2" t="str">
        <f t="shared" si="28"/>
        <v/>
      </c>
      <c r="S567" s="2"/>
      <c r="T567" s="2"/>
      <c r="U567" s="2"/>
      <c r="V567" s="2"/>
      <c r="W567" s="2"/>
      <c r="X567" s="2"/>
      <c r="Y567" s="2"/>
      <c r="Z567" s="2"/>
    </row>
    <row r="568" spans="11:26" x14ac:dyDescent="0.25">
      <c r="K568" s="2">
        <v>554</v>
      </c>
      <c r="L568" s="2">
        <f t="shared" si="26"/>
        <v>304.93243720128174</v>
      </c>
      <c r="M568" s="2">
        <f t="shared" si="27"/>
        <v>1</v>
      </c>
      <c r="N568" s="2" t="str">
        <f t="shared" si="28"/>
        <v/>
      </c>
      <c r="S568" s="2"/>
      <c r="T568" s="2"/>
      <c r="U568" s="2"/>
      <c r="V568" s="2"/>
      <c r="W568" s="2"/>
      <c r="X568" s="2"/>
      <c r="Y568" s="2"/>
      <c r="Z568" s="2"/>
    </row>
    <row r="569" spans="11:26" x14ac:dyDescent="0.25">
      <c r="K569" s="2">
        <v>555</v>
      </c>
      <c r="L569" s="2">
        <f t="shared" si="26"/>
        <v>305.45714429914983</v>
      </c>
      <c r="M569" s="2">
        <f t="shared" si="27"/>
        <v>1</v>
      </c>
      <c r="N569" s="2" t="str">
        <f t="shared" si="28"/>
        <v/>
      </c>
      <c r="S569" s="2"/>
      <c r="T569" s="2"/>
      <c r="U569" s="2"/>
      <c r="V569" s="2"/>
      <c r="W569" s="2"/>
      <c r="X569" s="2"/>
      <c r="Y569" s="2"/>
      <c r="Z569" s="2"/>
    </row>
    <row r="570" spans="11:26" x14ac:dyDescent="0.25">
      <c r="K570" s="2">
        <v>556</v>
      </c>
      <c r="L570" s="2">
        <f t="shared" si="26"/>
        <v>305.98182912875563</v>
      </c>
      <c r="M570" s="2">
        <f t="shared" si="27"/>
        <v>1</v>
      </c>
      <c r="N570" s="2" t="str">
        <f t="shared" si="28"/>
        <v/>
      </c>
      <c r="S570" s="2"/>
      <c r="T570" s="2"/>
      <c r="U570" s="2"/>
      <c r="V570" s="2"/>
      <c r="W570" s="2"/>
      <c r="X570" s="2"/>
      <c r="Y570" s="2"/>
      <c r="Z570" s="2"/>
    </row>
    <row r="571" spans="11:26" x14ac:dyDescent="0.25">
      <c r="K571" s="2">
        <v>557</v>
      </c>
      <c r="L571" s="2">
        <f t="shared" si="26"/>
        <v>306.50649175020163</v>
      </c>
      <c r="M571" s="2">
        <f t="shared" si="27"/>
        <v>1</v>
      </c>
      <c r="N571" s="2" t="str">
        <f t="shared" si="28"/>
        <v/>
      </c>
      <c r="S571" s="2"/>
      <c r="T571" s="2"/>
      <c r="U571" s="2"/>
      <c r="V571" s="2"/>
      <c r="W571" s="2"/>
      <c r="X571" s="2"/>
      <c r="Y571" s="2"/>
      <c r="Z571" s="2"/>
    </row>
    <row r="572" spans="11:26" x14ac:dyDescent="0.25">
      <c r="K572" s="2">
        <v>558</v>
      </c>
      <c r="L572" s="2">
        <f t="shared" si="26"/>
        <v>307.03113222332053</v>
      </c>
      <c r="M572" s="2">
        <f t="shared" si="27"/>
        <v>1</v>
      </c>
      <c r="N572" s="2" t="str">
        <f t="shared" si="28"/>
        <v/>
      </c>
      <c r="S572" s="2"/>
      <c r="T572" s="2"/>
      <c r="U572" s="2"/>
      <c r="V572" s="2"/>
      <c r="W572" s="2"/>
      <c r="X572" s="2"/>
      <c r="Y572" s="2"/>
      <c r="Z572" s="2"/>
    </row>
    <row r="573" spans="11:26" x14ac:dyDescent="0.25">
      <c r="K573" s="2">
        <v>559</v>
      </c>
      <c r="L573" s="2">
        <f t="shared" si="26"/>
        <v>307.55575060767688</v>
      </c>
      <c r="M573" s="2">
        <f t="shared" si="27"/>
        <v>1</v>
      </c>
      <c r="N573" s="2" t="str">
        <f t="shared" si="28"/>
        <v/>
      </c>
      <c r="S573" s="2"/>
      <c r="T573" s="2"/>
      <c r="U573" s="2"/>
      <c r="V573" s="2"/>
      <c r="W573" s="2"/>
      <c r="X573" s="2"/>
      <c r="Y573" s="2"/>
      <c r="Z573" s="2"/>
    </row>
    <row r="574" spans="11:26" x14ac:dyDescent="0.25">
      <c r="K574" s="2">
        <v>560</v>
      </c>
      <c r="L574" s="2">
        <f t="shared" si="26"/>
        <v>308.08034696256868</v>
      </c>
      <c r="M574" s="2">
        <f t="shared" si="27"/>
        <v>1</v>
      </c>
      <c r="N574" s="2" t="str">
        <f t="shared" si="28"/>
        <v/>
      </c>
      <c r="S574" s="2"/>
      <c r="T574" s="2"/>
      <c r="U574" s="2"/>
      <c r="V574" s="2"/>
      <c r="W574" s="2"/>
      <c r="X574" s="2"/>
      <c r="Y574" s="2"/>
      <c r="Z574" s="2"/>
    </row>
    <row r="575" spans="11:26" x14ac:dyDescent="0.25">
      <c r="K575" s="2">
        <v>561</v>
      </c>
      <c r="L575" s="2">
        <f t="shared" si="26"/>
        <v>308.60492134702906</v>
      </c>
      <c r="M575" s="2">
        <f t="shared" si="27"/>
        <v>1</v>
      </c>
      <c r="N575" s="2" t="str">
        <f t="shared" si="28"/>
        <v/>
      </c>
      <c r="S575" s="2"/>
      <c r="T575" s="2"/>
      <c r="U575" s="2"/>
      <c r="V575" s="2"/>
      <c r="W575" s="2"/>
      <c r="X575" s="2"/>
      <c r="Y575" s="2"/>
      <c r="Z575" s="2"/>
    </row>
    <row r="576" spans="11:26" x14ac:dyDescent="0.25">
      <c r="K576" s="2">
        <v>562</v>
      </c>
      <c r="L576" s="2">
        <f t="shared" si="26"/>
        <v>309.12947381982798</v>
      </c>
      <c r="M576" s="2">
        <f t="shared" si="27"/>
        <v>1</v>
      </c>
      <c r="N576" s="2" t="str">
        <f t="shared" si="28"/>
        <v/>
      </c>
      <c r="S576" s="2"/>
      <c r="T576" s="2"/>
      <c r="U576" s="2"/>
      <c r="V576" s="2"/>
      <c r="W576" s="2"/>
      <c r="X576" s="2"/>
      <c r="Y576" s="2"/>
      <c r="Z576" s="2"/>
    </row>
    <row r="577" spans="11:26" x14ac:dyDescent="0.25">
      <c r="K577" s="2">
        <v>563</v>
      </c>
      <c r="L577" s="2">
        <f t="shared" si="26"/>
        <v>309.65400443947391</v>
      </c>
      <c r="M577" s="2">
        <f t="shared" si="27"/>
        <v>1</v>
      </c>
      <c r="N577" s="2" t="str">
        <f t="shared" si="28"/>
        <v/>
      </c>
      <c r="S577" s="2"/>
      <c r="T577" s="2"/>
      <c r="U577" s="2"/>
      <c r="V577" s="2"/>
      <c r="W577" s="2"/>
      <c r="X577" s="2"/>
      <c r="Y577" s="2"/>
      <c r="Z577" s="2"/>
    </row>
    <row r="578" spans="11:26" x14ac:dyDescent="0.25">
      <c r="K578" s="2">
        <v>564</v>
      </c>
      <c r="L578" s="2">
        <f t="shared" si="26"/>
        <v>310.17851326421527</v>
      </c>
      <c r="M578" s="2">
        <f t="shared" si="27"/>
        <v>1</v>
      </c>
      <c r="N578" s="2" t="str">
        <f t="shared" si="28"/>
        <v/>
      </c>
      <c r="S578" s="2"/>
      <c r="T578" s="2"/>
      <c r="U578" s="2"/>
      <c r="V578" s="2"/>
      <c r="W578" s="2"/>
      <c r="X578" s="2"/>
      <c r="Y578" s="2"/>
      <c r="Z578" s="2"/>
    </row>
    <row r="579" spans="11:26" x14ac:dyDescent="0.25">
      <c r="K579" s="2">
        <v>565</v>
      </c>
      <c r="L579" s="2">
        <f t="shared" si="26"/>
        <v>310.70300035204235</v>
      </c>
      <c r="M579" s="2">
        <f t="shared" si="27"/>
        <v>1</v>
      </c>
      <c r="N579" s="2" t="str">
        <f t="shared" si="28"/>
        <v/>
      </c>
      <c r="S579" s="2"/>
      <c r="T579" s="2"/>
      <c r="U579" s="2"/>
      <c r="V579" s="2"/>
      <c r="W579" s="2"/>
      <c r="X579" s="2"/>
      <c r="Y579" s="2"/>
      <c r="Z579" s="2"/>
    </row>
    <row r="580" spans="11:26" x14ac:dyDescent="0.25">
      <c r="K580" s="2">
        <v>566</v>
      </c>
      <c r="L580" s="2">
        <f t="shared" si="26"/>
        <v>311.22746576068857</v>
      </c>
      <c r="M580" s="2">
        <f t="shared" si="27"/>
        <v>1</v>
      </c>
      <c r="N580" s="2" t="str">
        <f t="shared" si="28"/>
        <v/>
      </c>
      <c r="S580" s="2"/>
      <c r="T580" s="2"/>
      <c r="U580" s="2"/>
      <c r="V580" s="2"/>
      <c r="W580" s="2"/>
      <c r="X580" s="2"/>
      <c r="Y580" s="2"/>
      <c r="Z580" s="2"/>
    </row>
    <row r="581" spans="11:26" x14ac:dyDescent="0.25">
      <c r="K581" s="2">
        <v>567</v>
      </c>
      <c r="L581" s="2">
        <f t="shared" si="26"/>
        <v>311.75190954763235</v>
      </c>
      <c r="M581" s="2">
        <f t="shared" si="27"/>
        <v>1</v>
      </c>
      <c r="N581" s="2" t="str">
        <f t="shared" si="28"/>
        <v/>
      </c>
      <c r="S581" s="2"/>
      <c r="T581" s="2"/>
      <c r="U581" s="2"/>
      <c r="V581" s="2"/>
      <c r="W581" s="2"/>
      <c r="X581" s="2"/>
      <c r="Y581" s="2"/>
      <c r="Z581" s="2"/>
    </row>
    <row r="582" spans="11:26" x14ac:dyDescent="0.25">
      <c r="K582" s="2">
        <v>568</v>
      </c>
      <c r="L582" s="2">
        <f t="shared" si="26"/>
        <v>312.27633177009852</v>
      </c>
      <c r="M582" s="2">
        <f t="shared" si="27"/>
        <v>1</v>
      </c>
      <c r="N582" s="2" t="str">
        <f t="shared" si="28"/>
        <v/>
      </c>
      <c r="S582" s="2"/>
      <c r="T582" s="2"/>
      <c r="U582" s="2"/>
      <c r="V582" s="2"/>
      <c r="W582" s="2"/>
      <c r="X582" s="2"/>
      <c r="Y582" s="2"/>
      <c r="Z582" s="2"/>
    </row>
    <row r="583" spans="11:26" x14ac:dyDescent="0.25">
      <c r="K583" s="2">
        <v>569</v>
      </c>
      <c r="L583" s="2">
        <f t="shared" si="26"/>
        <v>312.80073248505988</v>
      </c>
      <c r="M583" s="2">
        <f t="shared" si="27"/>
        <v>1</v>
      </c>
      <c r="N583" s="2" t="str">
        <f t="shared" si="28"/>
        <v/>
      </c>
      <c r="S583" s="2"/>
      <c r="T583" s="2"/>
      <c r="U583" s="2"/>
      <c r="V583" s="2"/>
      <c r="W583" s="2"/>
      <c r="X583" s="2"/>
      <c r="Y583" s="2"/>
      <c r="Z583" s="2"/>
    </row>
    <row r="584" spans="11:26" x14ac:dyDescent="0.25">
      <c r="K584" s="2">
        <v>570</v>
      </c>
      <c r="L584" s="2">
        <f t="shared" si="26"/>
        <v>313.32511174923889</v>
      </c>
      <c r="M584" s="2">
        <f t="shared" si="27"/>
        <v>1</v>
      </c>
      <c r="N584" s="2" t="str">
        <f t="shared" si="28"/>
        <v/>
      </c>
      <c r="S584" s="2"/>
      <c r="T584" s="2"/>
      <c r="U584" s="2"/>
      <c r="V584" s="2"/>
      <c r="W584" s="2"/>
      <c r="X584" s="2"/>
      <c r="Y584" s="2"/>
      <c r="Z584" s="2"/>
    </row>
    <row r="585" spans="11:26" x14ac:dyDescent="0.25">
      <c r="K585" s="2">
        <v>571</v>
      </c>
      <c r="L585" s="2">
        <f t="shared" si="26"/>
        <v>313.84946961910913</v>
      </c>
      <c r="M585" s="2">
        <f t="shared" si="27"/>
        <v>1</v>
      </c>
      <c r="N585" s="2" t="str">
        <f t="shared" si="28"/>
        <v/>
      </c>
      <c r="S585" s="2"/>
      <c r="T585" s="2"/>
      <c r="U585" s="2"/>
      <c r="V585" s="2"/>
      <c r="W585" s="2"/>
      <c r="X585" s="2"/>
      <c r="Y585" s="2"/>
      <c r="Z585" s="2"/>
    </row>
    <row r="586" spans="11:26" x14ac:dyDescent="0.25">
      <c r="K586" s="2">
        <v>572</v>
      </c>
      <c r="L586" s="2">
        <f t="shared" si="26"/>
        <v>314.37380615089666</v>
      </c>
      <c r="M586" s="2">
        <f t="shared" si="27"/>
        <v>1</v>
      </c>
      <c r="N586" s="2" t="str">
        <f t="shared" si="28"/>
        <v/>
      </c>
      <c r="S586" s="2"/>
      <c r="T586" s="2"/>
      <c r="U586" s="2"/>
      <c r="V586" s="2"/>
      <c r="W586" s="2"/>
      <c r="X586" s="2"/>
      <c r="Y586" s="2"/>
      <c r="Z586" s="2"/>
    </row>
    <row r="587" spans="11:26" x14ac:dyDescent="0.25">
      <c r="K587" s="2">
        <v>573</v>
      </c>
      <c r="L587" s="2">
        <f t="shared" si="26"/>
        <v>314.89812140058189</v>
      </c>
      <c r="M587" s="2">
        <f t="shared" si="27"/>
        <v>1</v>
      </c>
      <c r="N587" s="2" t="str">
        <f t="shared" si="28"/>
        <v/>
      </c>
      <c r="S587" s="2"/>
      <c r="T587" s="2"/>
      <c r="U587" s="2"/>
      <c r="V587" s="2"/>
      <c r="W587" s="2"/>
      <c r="X587" s="2"/>
      <c r="Y587" s="2"/>
      <c r="Z587" s="2"/>
    </row>
    <row r="588" spans="11:26" x14ac:dyDescent="0.25">
      <c r="K588" s="2">
        <v>574</v>
      </c>
      <c r="L588" s="2">
        <f t="shared" si="26"/>
        <v>315.42241542390076</v>
      </c>
      <c r="M588" s="2">
        <f t="shared" si="27"/>
        <v>1</v>
      </c>
      <c r="N588" s="2" t="str">
        <f t="shared" si="28"/>
        <v/>
      </c>
      <c r="S588" s="2"/>
      <c r="T588" s="2"/>
      <c r="U588" s="2"/>
      <c r="V588" s="2"/>
      <c r="W588" s="2"/>
      <c r="X588" s="2"/>
      <c r="Y588" s="2"/>
      <c r="Z588" s="2"/>
    </row>
    <row r="589" spans="11:26" x14ac:dyDescent="0.25">
      <c r="K589" s="2">
        <v>575</v>
      </c>
      <c r="L589" s="2">
        <f t="shared" si="26"/>
        <v>315.94668827634644</v>
      </c>
      <c r="M589" s="2">
        <f t="shared" si="27"/>
        <v>1</v>
      </c>
      <c r="N589" s="2" t="str">
        <f t="shared" si="28"/>
        <v/>
      </c>
      <c r="S589" s="2"/>
      <c r="T589" s="2"/>
      <c r="U589" s="2"/>
      <c r="V589" s="2"/>
      <c r="W589" s="2"/>
      <c r="X589" s="2"/>
      <c r="Y589" s="2"/>
      <c r="Z589" s="2"/>
    </row>
    <row r="590" spans="11:26" x14ac:dyDescent="0.25">
      <c r="K590" s="2">
        <v>576</v>
      </c>
      <c r="L590" s="2">
        <f t="shared" si="26"/>
        <v>316.47094001317055</v>
      </c>
      <c r="M590" s="2">
        <f t="shared" si="27"/>
        <v>1</v>
      </c>
      <c r="N590" s="2" t="str">
        <f t="shared" si="28"/>
        <v/>
      </c>
      <c r="S590" s="2"/>
      <c r="T590" s="2"/>
      <c r="U590" s="2"/>
      <c r="V590" s="2"/>
      <c r="W590" s="2"/>
      <c r="X590" s="2"/>
      <c r="Y590" s="2"/>
      <c r="Z590" s="2"/>
    </row>
    <row r="591" spans="11:26" x14ac:dyDescent="0.25">
      <c r="K591" s="2">
        <v>577</v>
      </c>
      <c r="L591" s="2">
        <f t="shared" si="26"/>
        <v>316.99517068938502</v>
      </c>
      <c r="M591" s="2">
        <f t="shared" si="27"/>
        <v>1</v>
      </c>
      <c r="N591" s="2" t="str">
        <f t="shared" si="28"/>
        <v/>
      </c>
      <c r="S591" s="2"/>
      <c r="T591" s="2"/>
      <c r="U591" s="2"/>
      <c r="V591" s="2"/>
      <c r="W591" s="2"/>
      <c r="X591" s="2"/>
      <c r="Y591" s="2"/>
      <c r="Z591" s="2"/>
    </row>
    <row r="592" spans="11:26" x14ac:dyDescent="0.25">
      <c r="K592" s="2">
        <v>578</v>
      </c>
      <c r="L592" s="2">
        <f t="shared" ref="L592:L655" si="29">CHIINV($C$7,K592)/$J$15</f>
        <v>317.5193803597632</v>
      </c>
      <c r="M592" s="2">
        <f t="shared" si="27"/>
        <v>1</v>
      </c>
      <c r="N592" s="2" t="str">
        <f t="shared" si="28"/>
        <v/>
      </c>
      <c r="S592" s="2"/>
      <c r="T592" s="2"/>
      <c r="U592" s="2"/>
      <c r="V592" s="2"/>
      <c r="W592" s="2"/>
      <c r="X592" s="2"/>
      <c r="Y592" s="2"/>
      <c r="Z592" s="2"/>
    </row>
    <row r="593" spans="11:26" x14ac:dyDescent="0.25">
      <c r="K593" s="2">
        <v>579</v>
      </c>
      <c r="L593" s="2">
        <f t="shared" si="29"/>
        <v>318.04356907884141</v>
      </c>
      <c r="M593" s="2">
        <f t="shared" si="27"/>
        <v>1</v>
      </c>
      <c r="N593" s="2" t="str">
        <f t="shared" si="28"/>
        <v/>
      </c>
      <c r="S593" s="2"/>
      <c r="T593" s="2"/>
      <c r="U593" s="2"/>
      <c r="V593" s="2"/>
      <c r="W593" s="2"/>
      <c r="X593" s="2"/>
      <c r="Y593" s="2"/>
      <c r="Z593" s="2"/>
    </row>
    <row r="594" spans="11:26" x14ac:dyDescent="0.25">
      <c r="K594" s="2">
        <v>580</v>
      </c>
      <c r="L594" s="2">
        <f t="shared" si="29"/>
        <v>318.56773690092052</v>
      </c>
      <c r="M594" s="2">
        <f t="shared" si="27"/>
        <v>1</v>
      </c>
      <c r="N594" s="2" t="str">
        <f t="shared" si="28"/>
        <v/>
      </c>
      <c r="S594" s="2"/>
      <c r="T594" s="2"/>
      <c r="U594" s="2"/>
      <c r="V594" s="2"/>
      <c r="W594" s="2"/>
      <c r="X594" s="2"/>
      <c r="Y594" s="2"/>
      <c r="Z594" s="2"/>
    </row>
    <row r="595" spans="11:26" x14ac:dyDescent="0.25">
      <c r="K595" s="2">
        <v>581</v>
      </c>
      <c r="L595" s="2">
        <f t="shared" si="29"/>
        <v>319.09188388006709</v>
      </c>
      <c r="M595" s="2">
        <f t="shared" si="27"/>
        <v>1</v>
      </c>
      <c r="N595" s="2" t="str">
        <f t="shared" si="28"/>
        <v/>
      </c>
      <c r="S595" s="2"/>
      <c r="T595" s="2"/>
      <c r="U595" s="2"/>
      <c r="V595" s="2"/>
      <c r="W595" s="2"/>
      <c r="X595" s="2"/>
      <c r="Y595" s="2"/>
      <c r="Z595" s="2"/>
    </row>
    <row r="596" spans="11:26" x14ac:dyDescent="0.25">
      <c r="K596" s="2">
        <v>582</v>
      </c>
      <c r="L596" s="2">
        <f t="shared" si="29"/>
        <v>319.61601007011501</v>
      </c>
      <c r="M596" s="2">
        <f t="shared" si="27"/>
        <v>1</v>
      </c>
      <c r="N596" s="2" t="str">
        <f t="shared" si="28"/>
        <v/>
      </c>
      <c r="S596" s="2"/>
      <c r="T596" s="2"/>
      <c r="U596" s="2"/>
      <c r="V596" s="2"/>
      <c r="W596" s="2"/>
      <c r="X596" s="2"/>
      <c r="Y596" s="2"/>
      <c r="Z596" s="2"/>
    </row>
    <row r="597" spans="11:26" x14ac:dyDescent="0.25">
      <c r="K597" s="2">
        <v>583</v>
      </c>
      <c r="L597" s="2">
        <f t="shared" si="29"/>
        <v>320.1401155246669</v>
      </c>
      <c r="M597" s="2">
        <f t="shared" si="27"/>
        <v>1</v>
      </c>
      <c r="N597" s="2" t="str">
        <f t="shared" si="28"/>
        <v/>
      </c>
      <c r="S597" s="2"/>
      <c r="T597" s="2"/>
      <c r="U597" s="2"/>
      <c r="V597" s="2"/>
      <c r="W597" s="2"/>
      <c r="X597" s="2"/>
      <c r="Y597" s="2"/>
      <c r="Z597" s="2"/>
    </row>
    <row r="598" spans="11:26" x14ac:dyDescent="0.25">
      <c r="K598" s="2">
        <v>584</v>
      </c>
      <c r="L598" s="2">
        <f t="shared" si="29"/>
        <v>320.66420029709525</v>
      </c>
      <c r="M598" s="2">
        <f t="shared" si="27"/>
        <v>1</v>
      </c>
      <c r="N598" s="2" t="str">
        <f t="shared" si="28"/>
        <v/>
      </c>
      <c r="S598" s="2"/>
      <c r="T598" s="2"/>
      <c r="U598" s="2"/>
      <c r="V598" s="2"/>
      <c r="W598" s="2"/>
      <c r="X598" s="2"/>
      <c r="Y598" s="2"/>
      <c r="Z598" s="2"/>
    </row>
    <row r="599" spans="11:26" x14ac:dyDescent="0.25">
      <c r="K599" s="2">
        <v>585</v>
      </c>
      <c r="L599" s="2">
        <f t="shared" si="29"/>
        <v>321.18826444054417</v>
      </c>
      <c r="M599" s="2">
        <f t="shared" si="27"/>
        <v>1</v>
      </c>
      <c r="N599" s="2" t="str">
        <f t="shared" si="28"/>
        <v/>
      </c>
      <c r="S599" s="2"/>
      <c r="T599" s="2"/>
      <c r="U599" s="2"/>
      <c r="V599" s="2"/>
      <c r="W599" s="2"/>
      <c r="X599" s="2"/>
      <c r="Y599" s="2"/>
      <c r="Z599" s="2"/>
    </row>
    <row r="600" spans="11:26" x14ac:dyDescent="0.25">
      <c r="K600" s="2">
        <v>586</v>
      </c>
      <c r="L600" s="2">
        <f t="shared" si="29"/>
        <v>321.7123080079304</v>
      </c>
      <c r="M600" s="2">
        <f t="shared" si="27"/>
        <v>1</v>
      </c>
      <c r="N600" s="2" t="str">
        <f t="shared" si="28"/>
        <v/>
      </c>
      <c r="S600" s="2"/>
      <c r="T600" s="2"/>
      <c r="U600" s="2"/>
      <c r="V600" s="2"/>
      <c r="W600" s="2"/>
      <c r="X600" s="2"/>
      <c r="Y600" s="2"/>
      <c r="Z600" s="2"/>
    </row>
    <row r="601" spans="11:26" x14ac:dyDescent="0.25">
      <c r="K601" s="2">
        <v>587</v>
      </c>
      <c r="L601" s="2">
        <f t="shared" si="29"/>
        <v>322.23633105194494</v>
      </c>
      <c r="M601" s="2">
        <f t="shared" si="27"/>
        <v>1</v>
      </c>
      <c r="N601" s="2" t="str">
        <f t="shared" si="28"/>
        <v/>
      </c>
      <c r="S601" s="2"/>
      <c r="T601" s="2"/>
      <c r="U601" s="2"/>
      <c r="V601" s="2"/>
      <c r="W601" s="2"/>
      <c r="X601" s="2"/>
      <c r="Y601" s="2"/>
      <c r="Z601" s="2"/>
    </row>
    <row r="602" spans="11:26" x14ac:dyDescent="0.25">
      <c r="K602" s="2">
        <v>588</v>
      </c>
      <c r="L602" s="2">
        <f t="shared" si="29"/>
        <v>322.76033362505427</v>
      </c>
      <c r="M602" s="2">
        <f t="shared" si="27"/>
        <v>1</v>
      </c>
      <c r="N602" s="2" t="str">
        <f t="shared" si="28"/>
        <v/>
      </c>
      <c r="S602" s="2"/>
      <c r="T602" s="2"/>
      <c r="U602" s="2"/>
      <c r="V602" s="2"/>
      <c r="W602" s="2"/>
      <c r="X602" s="2"/>
      <c r="Y602" s="2"/>
      <c r="Z602" s="2"/>
    </row>
    <row r="603" spans="11:26" x14ac:dyDescent="0.25">
      <c r="K603" s="2">
        <v>589</v>
      </c>
      <c r="L603" s="2">
        <f t="shared" si="29"/>
        <v>323.28431577950164</v>
      </c>
      <c r="M603" s="2">
        <f t="shared" si="27"/>
        <v>1</v>
      </c>
      <c r="N603" s="2" t="str">
        <f t="shared" si="28"/>
        <v/>
      </c>
      <c r="S603" s="2"/>
      <c r="T603" s="2"/>
      <c r="U603" s="2"/>
      <c r="V603" s="2"/>
      <c r="W603" s="2"/>
      <c r="X603" s="2"/>
      <c r="Y603" s="2"/>
      <c r="Z603" s="2"/>
    </row>
    <row r="604" spans="11:26" x14ac:dyDescent="0.25">
      <c r="K604" s="2">
        <v>590</v>
      </c>
      <c r="L604" s="2">
        <f t="shared" si="29"/>
        <v>323.80827756730849</v>
      </c>
      <c r="M604" s="2">
        <f t="shared" si="27"/>
        <v>1</v>
      </c>
      <c r="N604" s="2" t="str">
        <f t="shared" si="28"/>
        <v/>
      </c>
      <c r="S604" s="2"/>
      <c r="T604" s="2"/>
      <c r="U604" s="2"/>
      <c r="V604" s="2"/>
      <c r="W604" s="2"/>
      <c r="X604" s="2"/>
      <c r="Y604" s="2"/>
      <c r="Z604" s="2"/>
    </row>
    <row r="605" spans="11:26" x14ac:dyDescent="0.25">
      <c r="K605" s="2">
        <v>591</v>
      </c>
      <c r="L605" s="2">
        <f t="shared" si="29"/>
        <v>324.33221904027585</v>
      </c>
      <c r="M605" s="2">
        <f t="shared" si="27"/>
        <v>1</v>
      </c>
      <c r="N605" s="2" t="str">
        <f t="shared" si="28"/>
        <v/>
      </c>
      <c r="S605" s="2"/>
      <c r="T605" s="2"/>
      <c r="U605" s="2"/>
      <c r="V605" s="2"/>
      <c r="W605" s="2"/>
      <c r="X605" s="2"/>
      <c r="Y605" s="2"/>
      <c r="Z605" s="2"/>
    </row>
    <row r="606" spans="11:26" x14ac:dyDescent="0.25">
      <c r="K606" s="2">
        <v>592</v>
      </c>
      <c r="L606" s="2">
        <f t="shared" si="29"/>
        <v>324.85614024998529</v>
      </c>
      <c r="M606" s="2">
        <f t="shared" ref="M606:M669" si="30">CHIDIST(L606,K606)</f>
        <v>1</v>
      </c>
      <c r="N606" s="2" t="str">
        <f t="shared" ref="N606:N669" si="31">IF(M606&lt;$C$11,K606,"")</f>
        <v/>
      </c>
      <c r="S606" s="2"/>
      <c r="T606" s="2"/>
      <c r="U606" s="2"/>
      <c r="V606" s="2"/>
      <c r="W606" s="2"/>
      <c r="X606" s="2"/>
      <c r="Y606" s="2"/>
      <c r="Z606" s="2"/>
    </row>
    <row r="607" spans="11:26" x14ac:dyDescent="0.25">
      <c r="K607" s="2">
        <v>593</v>
      </c>
      <c r="L607" s="2">
        <f t="shared" si="29"/>
        <v>325.38004124780076</v>
      </c>
      <c r="M607" s="2">
        <f t="shared" si="30"/>
        <v>1</v>
      </c>
      <c r="N607" s="2" t="str">
        <f t="shared" si="31"/>
        <v/>
      </c>
      <c r="S607" s="2"/>
      <c r="T607" s="2"/>
      <c r="U607" s="2"/>
      <c r="V607" s="2"/>
      <c r="W607" s="2"/>
      <c r="X607" s="2"/>
      <c r="Y607" s="2"/>
      <c r="Z607" s="2"/>
    </row>
    <row r="608" spans="11:26" x14ac:dyDescent="0.25">
      <c r="K608" s="2">
        <v>594</v>
      </c>
      <c r="L608" s="2">
        <f t="shared" si="29"/>
        <v>325.90392208486935</v>
      </c>
      <c r="M608" s="2">
        <f t="shared" si="30"/>
        <v>1</v>
      </c>
      <c r="N608" s="2" t="str">
        <f t="shared" si="31"/>
        <v/>
      </c>
      <c r="S608" s="2"/>
      <c r="T608" s="2"/>
      <c r="U608" s="2"/>
      <c r="V608" s="2"/>
      <c r="W608" s="2"/>
      <c r="X608" s="2"/>
      <c r="Y608" s="2"/>
      <c r="Z608" s="2"/>
    </row>
    <row r="609" spans="11:26" x14ac:dyDescent="0.25">
      <c r="K609" s="2">
        <v>595</v>
      </c>
      <c r="L609" s="2">
        <f t="shared" si="29"/>
        <v>326.42778281212293</v>
      </c>
      <c r="M609" s="2">
        <f t="shared" si="30"/>
        <v>1</v>
      </c>
      <c r="N609" s="2" t="str">
        <f t="shared" si="31"/>
        <v/>
      </c>
      <c r="S609" s="2"/>
      <c r="T609" s="2"/>
      <c r="U609" s="2"/>
      <c r="V609" s="2"/>
      <c r="W609" s="2"/>
      <c r="X609" s="2"/>
      <c r="Y609" s="2"/>
      <c r="Z609" s="2"/>
    </row>
    <row r="610" spans="11:26" x14ac:dyDescent="0.25">
      <c r="K610" s="2">
        <v>596</v>
      </c>
      <c r="L610" s="2">
        <f t="shared" si="29"/>
        <v>326.95162348027912</v>
      </c>
      <c r="M610" s="2">
        <f t="shared" si="30"/>
        <v>1</v>
      </c>
      <c r="N610" s="2" t="str">
        <f t="shared" si="31"/>
        <v/>
      </c>
      <c r="S610" s="2"/>
      <c r="T610" s="2"/>
      <c r="U610" s="2"/>
      <c r="V610" s="2"/>
      <c r="W610" s="2"/>
      <c r="X610" s="2"/>
      <c r="Y610" s="2"/>
      <c r="Z610" s="2"/>
    </row>
    <row r="611" spans="11:26" x14ac:dyDescent="0.25">
      <c r="K611" s="2">
        <v>597</v>
      </c>
      <c r="L611" s="2">
        <f t="shared" si="29"/>
        <v>327.47544413984292</v>
      </c>
      <c r="M611" s="2">
        <f t="shared" si="30"/>
        <v>1</v>
      </c>
      <c r="N611" s="2" t="str">
        <f t="shared" si="31"/>
        <v/>
      </c>
      <c r="S611" s="2"/>
      <c r="T611" s="2"/>
      <c r="U611" s="2"/>
      <c r="V611" s="2"/>
      <c r="W611" s="2"/>
      <c r="X611" s="2"/>
      <c r="Y611" s="2"/>
      <c r="Z611" s="2"/>
    </row>
    <row r="612" spans="11:26" x14ac:dyDescent="0.25">
      <c r="K612" s="2">
        <v>598</v>
      </c>
      <c r="L612" s="2">
        <f t="shared" si="29"/>
        <v>327.99924484110761</v>
      </c>
      <c r="M612" s="2">
        <f t="shared" si="30"/>
        <v>1</v>
      </c>
      <c r="N612" s="2" t="str">
        <f t="shared" si="31"/>
        <v/>
      </c>
      <c r="S612" s="2"/>
      <c r="T612" s="2"/>
      <c r="U612" s="2"/>
      <c r="V612" s="2"/>
      <c r="W612" s="2"/>
      <c r="X612" s="2"/>
      <c r="Y612" s="2"/>
      <c r="Z612" s="2"/>
    </row>
    <row r="613" spans="11:26" x14ac:dyDescent="0.25">
      <c r="K613" s="2">
        <v>599</v>
      </c>
      <c r="L613" s="2">
        <f t="shared" si="29"/>
        <v>328.52302563415611</v>
      </c>
      <c r="M613" s="2">
        <f t="shared" si="30"/>
        <v>1</v>
      </c>
      <c r="N613" s="2" t="str">
        <f t="shared" si="31"/>
        <v/>
      </c>
      <c r="S613" s="2"/>
      <c r="T613" s="2"/>
      <c r="U613" s="2"/>
      <c r="V613" s="2"/>
      <c r="W613" s="2"/>
      <c r="X613" s="2"/>
      <c r="Y613" s="2"/>
      <c r="Z613" s="2"/>
    </row>
    <row r="614" spans="11:26" x14ac:dyDescent="0.25">
      <c r="K614" s="2">
        <v>600</v>
      </c>
      <c r="L614" s="2">
        <f t="shared" si="29"/>
        <v>329.04678656886239</v>
      </c>
      <c r="M614" s="2">
        <f t="shared" si="30"/>
        <v>1</v>
      </c>
      <c r="N614" s="2" t="str">
        <f t="shared" si="31"/>
        <v/>
      </c>
      <c r="S614" s="2"/>
      <c r="T614" s="2"/>
      <c r="U614" s="2"/>
      <c r="V614" s="2"/>
      <c r="W614" s="2"/>
      <c r="X614" s="2"/>
      <c r="Y614" s="2"/>
      <c r="Z614" s="2"/>
    </row>
    <row r="615" spans="11:26" x14ac:dyDescent="0.25">
      <c r="K615" s="2">
        <v>601</v>
      </c>
      <c r="L615" s="2">
        <f t="shared" si="29"/>
        <v>329.57052769489229</v>
      </c>
      <c r="M615" s="2">
        <f t="shared" si="30"/>
        <v>1</v>
      </c>
      <c r="N615" s="2" t="str">
        <f t="shared" si="31"/>
        <v/>
      </c>
      <c r="S615" s="2"/>
      <c r="T615" s="2"/>
      <c r="U615" s="2"/>
      <c r="V615" s="2"/>
      <c r="W615" s="2"/>
      <c r="X615" s="2"/>
      <c r="Y615" s="2"/>
      <c r="Z615" s="2"/>
    </row>
    <row r="616" spans="11:26" x14ac:dyDescent="0.25">
      <c r="K616" s="2">
        <v>602</v>
      </c>
      <c r="L616" s="2">
        <f t="shared" si="29"/>
        <v>330.09424906170517</v>
      </c>
      <c r="M616" s="2">
        <f t="shared" si="30"/>
        <v>1</v>
      </c>
      <c r="N616" s="2" t="str">
        <f t="shared" si="31"/>
        <v/>
      </c>
      <c r="S616" s="2"/>
      <c r="T616" s="2"/>
      <c r="U616" s="2"/>
      <c r="V616" s="2"/>
      <c r="W616" s="2"/>
      <c r="X616" s="2"/>
      <c r="Y616" s="2"/>
      <c r="Z616" s="2"/>
    </row>
    <row r="617" spans="11:26" x14ac:dyDescent="0.25">
      <c r="K617" s="2">
        <v>603</v>
      </c>
      <c r="L617" s="2">
        <f t="shared" si="29"/>
        <v>330.61795071855488</v>
      </c>
      <c r="M617" s="2">
        <f t="shared" si="30"/>
        <v>1</v>
      </c>
      <c r="N617" s="2" t="str">
        <f t="shared" si="31"/>
        <v/>
      </c>
      <c r="S617" s="2"/>
      <c r="T617" s="2"/>
      <c r="U617" s="2"/>
      <c r="V617" s="2"/>
      <c r="W617" s="2"/>
      <c r="X617" s="2"/>
      <c r="Y617" s="2"/>
      <c r="Z617" s="2"/>
    </row>
    <row r="618" spans="11:26" x14ac:dyDescent="0.25">
      <c r="K618" s="2">
        <v>604</v>
      </c>
      <c r="L618" s="2">
        <f t="shared" si="29"/>
        <v>331.14163271449081</v>
      </c>
      <c r="M618" s="2">
        <f t="shared" si="30"/>
        <v>1</v>
      </c>
      <c r="N618" s="2" t="str">
        <f t="shared" si="31"/>
        <v/>
      </c>
      <c r="S618" s="2"/>
      <c r="T618" s="2"/>
      <c r="U618" s="2"/>
      <c r="V618" s="2"/>
      <c r="W618" s="2"/>
      <c r="X618" s="2"/>
      <c r="Y618" s="2"/>
      <c r="Z618" s="2"/>
    </row>
    <row r="619" spans="11:26" x14ac:dyDescent="0.25">
      <c r="K619" s="2">
        <v>605</v>
      </c>
      <c r="L619" s="2">
        <f t="shared" si="29"/>
        <v>331.66529509835948</v>
      </c>
      <c r="M619" s="2">
        <f t="shared" si="30"/>
        <v>1</v>
      </c>
      <c r="N619" s="2" t="str">
        <f t="shared" si="31"/>
        <v/>
      </c>
      <c r="S619" s="2"/>
      <c r="T619" s="2"/>
      <c r="U619" s="2"/>
      <c r="V619" s="2"/>
      <c r="W619" s="2"/>
      <c r="X619" s="2"/>
      <c r="Y619" s="2"/>
      <c r="Z619" s="2"/>
    </row>
    <row r="620" spans="11:26" x14ac:dyDescent="0.25">
      <c r="K620" s="2">
        <v>606</v>
      </c>
      <c r="L620" s="2">
        <f t="shared" si="29"/>
        <v>332.18893791880532</v>
      </c>
      <c r="M620" s="2">
        <f t="shared" si="30"/>
        <v>1</v>
      </c>
      <c r="N620" s="2" t="str">
        <f t="shared" si="31"/>
        <v/>
      </c>
      <c r="S620" s="2"/>
      <c r="T620" s="2"/>
      <c r="U620" s="2"/>
      <c r="V620" s="2"/>
      <c r="W620" s="2"/>
      <c r="X620" s="2"/>
      <c r="Y620" s="2"/>
      <c r="Z620" s="2"/>
    </row>
    <row r="621" spans="11:26" x14ac:dyDescent="0.25">
      <c r="K621" s="2">
        <v>607</v>
      </c>
      <c r="L621" s="2">
        <f t="shared" si="29"/>
        <v>332.71256122427206</v>
      </c>
      <c r="M621" s="2">
        <f t="shared" si="30"/>
        <v>1</v>
      </c>
      <c r="N621" s="2" t="str">
        <f t="shared" si="31"/>
        <v/>
      </c>
      <c r="S621" s="2"/>
      <c r="T621" s="2"/>
      <c r="U621" s="2"/>
      <c r="V621" s="2"/>
      <c r="W621" s="2"/>
      <c r="X621" s="2"/>
      <c r="Y621" s="2"/>
      <c r="Z621" s="2"/>
    </row>
    <row r="622" spans="11:26" x14ac:dyDescent="0.25">
      <c r="K622" s="2">
        <v>608</v>
      </c>
      <c r="L622" s="2">
        <f t="shared" si="29"/>
        <v>333.23616506300385</v>
      </c>
      <c r="M622" s="2">
        <f t="shared" si="30"/>
        <v>1</v>
      </c>
      <c r="N622" s="2" t="str">
        <f t="shared" si="31"/>
        <v/>
      </c>
      <c r="S622" s="2"/>
      <c r="T622" s="2"/>
      <c r="U622" s="2"/>
      <c r="V622" s="2"/>
      <c r="W622" s="2"/>
      <c r="X622" s="2"/>
      <c r="Y622" s="2"/>
      <c r="Z622" s="2"/>
    </row>
    <row r="623" spans="11:26" x14ac:dyDescent="0.25">
      <c r="K623" s="2">
        <v>609</v>
      </c>
      <c r="L623" s="2">
        <f t="shared" si="29"/>
        <v>333.75974948304639</v>
      </c>
      <c r="M623" s="2">
        <f t="shared" si="30"/>
        <v>1</v>
      </c>
      <c r="N623" s="2" t="str">
        <f t="shared" si="31"/>
        <v/>
      </c>
      <c r="S623" s="2"/>
      <c r="T623" s="2"/>
      <c r="U623" s="2"/>
      <c r="V623" s="2"/>
      <c r="W623" s="2"/>
      <c r="X623" s="2"/>
      <c r="Y623" s="2"/>
      <c r="Z623" s="2"/>
    </row>
    <row r="624" spans="11:26" x14ac:dyDescent="0.25">
      <c r="K624" s="2">
        <v>610</v>
      </c>
      <c r="L624" s="2">
        <f t="shared" si="29"/>
        <v>334.28331453224797</v>
      </c>
      <c r="M624" s="2">
        <f t="shared" si="30"/>
        <v>1</v>
      </c>
      <c r="N624" s="2" t="str">
        <f t="shared" si="31"/>
        <v/>
      </c>
      <c r="S624" s="2"/>
      <c r="T624" s="2"/>
      <c r="U624" s="2"/>
      <c r="V624" s="2"/>
      <c r="W624" s="2"/>
      <c r="X624" s="2"/>
      <c r="Y624" s="2"/>
      <c r="Z624" s="2"/>
    </row>
    <row r="625" spans="11:26" x14ac:dyDescent="0.25">
      <c r="K625" s="2">
        <v>611</v>
      </c>
      <c r="L625" s="2">
        <f t="shared" si="29"/>
        <v>334.80686025826088</v>
      </c>
      <c r="M625" s="2">
        <f t="shared" si="30"/>
        <v>1</v>
      </c>
      <c r="N625" s="2" t="str">
        <f t="shared" si="31"/>
        <v/>
      </c>
      <c r="S625" s="2"/>
      <c r="T625" s="2"/>
      <c r="U625" s="2"/>
      <c r="V625" s="2"/>
      <c r="W625" s="2"/>
      <c r="X625" s="2"/>
      <c r="Y625" s="2"/>
      <c r="Z625" s="2"/>
    </row>
    <row r="626" spans="11:26" x14ac:dyDescent="0.25">
      <c r="K626" s="2">
        <v>612</v>
      </c>
      <c r="L626" s="2">
        <f t="shared" si="29"/>
        <v>335.33038670854211</v>
      </c>
      <c r="M626" s="2">
        <f t="shared" si="30"/>
        <v>1</v>
      </c>
      <c r="N626" s="2" t="str">
        <f t="shared" si="31"/>
        <v/>
      </c>
      <c r="S626" s="2"/>
      <c r="T626" s="2"/>
      <c r="U626" s="2"/>
      <c r="V626" s="2"/>
      <c r="W626" s="2"/>
      <c r="X626" s="2"/>
      <c r="Y626" s="2"/>
      <c r="Z626" s="2"/>
    </row>
    <row r="627" spans="11:26" x14ac:dyDescent="0.25">
      <c r="K627" s="2">
        <v>613</v>
      </c>
      <c r="L627" s="2">
        <f t="shared" si="29"/>
        <v>335.85389393035496</v>
      </c>
      <c r="M627" s="2">
        <f t="shared" si="30"/>
        <v>1</v>
      </c>
      <c r="N627" s="2" t="str">
        <f t="shared" si="31"/>
        <v/>
      </c>
      <c r="S627" s="2"/>
      <c r="T627" s="2"/>
      <c r="U627" s="2"/>
      <c r="V627" s="2"/>
      <c r="W627" s="2"/>
      <c r="X627" s="2"/>
      <c r="Y627" s="2"/>
      <c r="Z627" s="2"/>
    </row>
    <row r="628" spans="11:26" x14ac:dyDescent="0.25">
      <c r="K628" s="2">
        <v>614</v>
      </c>
      <c r="L628" s="2">
        <f t="shared" si="29"/>
        <v>336.37738197076976</v>
      </c>
      <c r="M628" s="2">
        <f t="shared" si="30"/>
        <v>1</v>
      </c>
      <c r="N628" s="2" t="str">
        <f t="shared" si="31"/>
        <v/>
      </c>
      <c r="S628" s="2"/>
      <c r="T628" s="2"/>
      <c r="U628" s="2"/>
      <c r="V628" s="2"/>
      <c r="W628" s="2"/>
      <c r="X628" s="2"/>
      <c r="Y628" s="2"/>
      <c r="Z628" s="2"/>
    </row>
    <row r="629" spans="11:26" x14ac:dyDescent="0.25">
      <c r="K629" s="2">
        <v>615</v>
      </c>
      <c r="L629" s="2">
        <f t="shared" si="29"/>
        <v>336.90085087666517</v>
      </c>
      <c r="M629" s="2">
        <f t="shared" si="30"/>
        <v>1</v>
      </c>
      <c r="N629" s="2" t="str">
        <f t="shared" si="31"/>
        <v/>
      </c>
      <c r="S629" s="2"/>
      <c r="T629" s="2"/>
      <c r="U629" s="2"/>
      <c r="V629" s="2"/>
      <c r="W629" s="2"/>
      <c r="X629" s="2"/>
      <c r="Y629" s="2"/>
      <c r="Z629" s="2"/>
    </row>
    <row r="630" spans="11:26" x14ac:dyDescent="0.25">
      <c r="K630" s="2">
        <v>616</v>
      </c>
      <c r="L630" s="2">
        <f t="shared" si="29"/>
        <v>337.42430069472908</v>
      </c>
      <c r="M630" s="2">
        <f t="shared" si="30"/>
        <v>1</v>
      </c>
      <c r="N630" s="2" t="str">
        <f t="shared" si="31"/>
        <v/>
      </c>
      <c r="S630" s="2"/>
      <c r="T630" s="2"/>
      <c r="U630" s="2"/>
      <c r="V630" s="2"/>
      <c r="W630" s="2"/>
      <c r="X630" s="2"/>
      <c r="Y630" s="2"/>
      <c r="Z630" s="2"/>
    </row>
    <row r="631" spans="11:26" x14ac:dyDescent="0.25">
      <c r="K631" s="2">
        <v>617</v>
      </c>
      <c r="L631" s="2">
        <f t="shared" si="29"/>
        <v>337.94773147146003</v>
      </c>
      <c r="M631" s="2">
        <f t="shared" si="30"/>
        <v>1</v>
      </c>
      <c r="N631" s="2" t="str">
        <f t="shared" si="31"/>
        <v/>
      </c>
      <c r="S631" s="2"/>
      <c r="T631" s="2"/>
      <c r="U631" s="2"/>
      <c r="V631" s="2"/>
      <c r="W631" s="2"/>
      <c r="X631" s="2"/>
      <c r="Y631" s="2"/>
      <c r="Z631" s="2"/>
    </row>
    <row r="632" spans="11:26" x14ac:dyDescent="0.25">
      <c r="K632" s="2">
        <v>618</v>
      </c>
      <c r="L632" s="2">
        <f t="shared" si="29"/>
        <v>338.47114325316795</v>
      </c>
      <c r="M632" s="2">
        <f t="shared" si="30"/>
        <v>1</v>
      </c>
      <c r="N632" s="2" t="str">
        <f t="shared" si="31"/>
        <v/>
      </c>
      <c r="S632" s="2"/>
      <c r="T632" s="2"/>
      <c r="U632" s="2"/>
      <c r="V632" s="2"/>
      <c r="W632" s="2"/>
      <c r="X632" s="2"/>
      <c r="Y632" s="2"/>
      <c r="Z632" s="2"/>
    </row>
    <row r="633" spans="11:26" x14ac:dyDescent="0.25">
      <c r="K633" s="2">
        <v>619</v>
      </c>
      <c r="L633" s="2">
        <f t="shared" si="29"/>
        <v>338.99453608597531</v>
      </c>
      <c r="M633" s="2">
        <f t="shared" si="30"/>
        <v>1</v>
      </c>
      <c r="N633" s="2" t="str">
        <f t="shared" si="31"/>
        <v/>
      </c>
      <c r="S633" s="2"/>
      <c r="T633" s="2"/>
      <c r="U633" s="2"/>
      <c r="V633" s="2"/>
      <c r="W633" s="2"/>
      <c r="X633" s="2"/>
      <c r="Y633" s="2"/>
      <c r="Z633" s="2"/>
    </row>
    <row r="634" spans="11:26" x14ac:dyDescent="0.25">
      <c r="K634" s="2">
        <v>620</v>
      </c>
      <c r="L634" s="2">
        <f t="shared" si="29"/>
        <v>339.51791001581836</v>
      </c>
      <c r="M634" s="2">
        <f t="shared" si="30"/>
        <v>1</v>
      </c>
      <c r="N634" s="2" t="str">
        <f t="shared" si="31"/>
        <v/>
      </c>
      <c r="S634" s="2"/>
      <c r="T634" s="2"/>
      <c r="U634" s="2"/>
      <c r="V634" s="2"/>
      <c r="W634" s="2"/>
      <c r="X634" s="2"/>
      <c r="Y634" s="2"/>
      <c r="Z634" s="2"/>
    </row>
    <row r="635" spans="11:26" x14ac:dyDescent="0.25">
      <c r="K635" s="2">
        <v>621</v>
      </c>
      <c r="L635" s="2">
        <f t="shared" si="29"/>
        <v>340.04126508844797</v>
      </c>
      <c r="M635" s="2">
        <f t="shared" si="30"/>
        <v>1</v>
      </c>
      <c r="N635" s="2" t="str">
        <f t="shared" si="31"/>
        <v/>
      </c>
      <c r="S635" s="2"/>
      <c r="T635" s="2"/>
      <c r="U635" s="2"/>
      <c r="V635" s="2"/>
      <c r="W635" s="2"/>
      <c r="X635" s="2"/>
      <c r="Y635" s="2"/>
      <c r="Z635" s="2"/>
    </row>
    <row r="636" spans="11:26" x14ac:dyDescent="0.25">
      <c r="K636" s="2">
        <v>622</v>
      </c>
      <c r="L636" s="2">
        <f t="shared" si="29"/>
        <v>340.5646013494308</v>
      </c>
      <c r="M636" s="2">
        <f t="shared" si="30"/>
        <v>1</v>
      </c>
      <c r="N636" s="2" t="str">
        <f t="shared" si="31"/>
        <v/>
      </c>
      <c r="S636" s="2"/>
      <c r="T636" s="2"/>
      <c r="U636" s="2"/>
      <c r="V636" s="2"/>
      <c r="W636" s="2"/>
      <c r="X636" s="2"/>
      <c r="Y636" s="2"/>
      <c r="Z636" s="2"/>
    </row>
    <row r="637" spans="11:26" x14ac:dyDescent="0.25">
      <c r="K637" s="2">
        <v>623</v>
      </c>
      <c r="L637" s="2">
        <f t="shared" si="29"/>
        <v>341.08791884415024</v>
      </c>
      <c r="M637" s="2">
        <f t="shared" si="30"/>
        <v>1</v>
      </c>
      <c r="N637" s="2" t="str">
        <f t="shared" si="31"/>
        <v/>
      </c>
      <c r="S637" s="2"/>
      <c r="T637" s="2"/>
      <c r="U637" s="2"/>
      <c r="V637" s="2"/>
      <c r="W637" s="2"/>
      <c r="X637" s="2"/>
      <c r="Y637" s="2"/>
      <c r="Z637" s="2"/>
    </row>
    <row r="638" spans="11:26" x14ac:dyDescent="0.25">
      <c r="K638" s="2">
        <v>624</v>
      </c>
      <c r="L638" s="2">
        <f t="shared" si="29"/>
        <v>341.61121761780748</v>
      </c>
      <c r="M638" s="2">
        <f t="shared" si="30"/>
        <v>1</v>
      </c>
      <c r="N638" s="2" t="str">
        <f t="shared" si="31"/>
        <v/>
      </c>
      <c r="S638" s="2"/>
      <c r="T638" s="2"/>
      <c r="U638" s="2"/>
      <c r="V638" s="2"/>
      <c r="W638" s="2"/>
      <c r="X638" s="2"/>
      <c r="Y638" s="2"/>
      <c r="Z638" s="2"/>
    </row>
    <row r="639" spans="11:26" x14ac:dyDescent="0.25">
      <c r="K639" s="2">
        <v>625</v>
      </c>
      <c r="L639" s="2">
        <f t="shared" si="29"/>
        <v>342.1344977154227</v>
      </c>
      <c r="M639" s="2">
        <f t="shared" si="30"/>
        <v>1</v>
      </c>
      <c r="N639" s="2" t="str">
        <f t="shared" si="31"/>
        <v/>
      </c>
      <c r="S639" s="2"/>
      <c r="T639" s="2"/>
      <c r="U639" s="2"/>
      <c r="V639" s="2"/>
      <c r="W639" s="2"/>
      <c r="X639" s="2"/>
      <c r="Y639" s="2"/>
      <c r="Z639" s="2"/>
    </row>
    <row r="640" spans="11:26" x14ac:dyDescent="0.25">
      <c r="K640" s="2">
        <v>626</v>
      </c>
      <c r="L640" s="2">
        <f t="shared" si="29"/>
        <v>342.65775918183567</v>
      </c>
      <c r="M640" s="2">
        <f t="shared" si="30"/>
        <v>1</v>
      </c>
      <c r="N640" s="2" t="str">
        <f t="shared" si="31"/>
        <v/>
      </c>
      <c r="S640" s="2"/>
      <c r="T640" s="2"/>
      <c r="U640" s="2"/>
      <c r="V640" s="2"/>
      <c r="W640" s="2"/>
      <c r="X640" s="2"/>
      <c r="Y640" s="2"/>
      <c r="Z640" s="2"/>
    </row>
    <row r="641" spans="11:26" x14ac:dyDescent="0.25">
      <c r="K641" s="2">
        <v>627</v>
      </c>
      <c r="L641" s="2">
        <f t="shared" si="29"/>
        <v>343.1810020617072</v>
      </c>
      <c r="M641" s="2">
        <f t="shared" si="30"/>
        <v>1</v>
      </c>
      <c r="N641" s="2" t="str">
        <f t="shared" si="31"/>
        <v/>
      </c>
      <c r="S641" s="2"/>
      <c r="T641" s="2"/>
      <c r="U641" s="2"/>
      <c r="V641" s="2"/>
      <c r="W641" s="2"/>
      <c r="X641" s="2"/>
      <c r="Y641" s="2"/>
      <c r="Z641" s="2"/>
    </row>
    <row r="642" spans="11:26" x14ac:dyDescent="0.25">
      <c r="K642" s="2">
        <v>628</v>
      </c>
      <c r="L642" s="2">
        <f t="shared" si="29"/>
        <v>343.70422639952</v>
      </c>
      <c r="M642" s="2">
        <f t="shared" si="30"/>
        <v>1</v>
      </c>
      <c r="N642" s="2" t="str">
        <f t="shared" si="31"/>
        <v/>
      </c>
      <c r="S642" s="2"/>
      <c r="T642" s="2"/>
      <c r="U642" s="2"/>
      <c r="V642" s="2"/>
      <c r="W642" s="2"/>
      <c r="X642" s="2"/>
      <c r="Y642" s="2"/>
      <c r="Z642" s="2"/>
    </row>
    <row r="643" spans="11:26" x14ac:dyDescent="0.25">
      <c r="K643" s="2">
        <v>629</v>
      </c>
      <c r="L643" s="2">
        <f t="shared" si="29"/>
        <v>344.2274322395794</v>
      </c>
      <c r="M643" s="2">
        <f t="shared" si="30"/>
        <v>1</v>
      </c>
      <c r="N643" s="2" t="str">
        <f t="shared" si="31"/>
        <v/>
      </c>
      <c r="S643" s="2"/>
      <c r="T643" s="2"/>
      <c r="U643" s="2"/>
      <c r="V643" s="2"/>
      <c r="W643" s="2"/>
      <c r="X643" s="2"/>
      <c r="Y643" s="2"/>
      <c r="Z643" s="2"/>
    </row>
    <row r="644" spans="11:26" x14ac:dyDescent="0.25">
      <c r="K644" s="2">
        <v>630</v>
      </c>
      <c r="L644" s="2">
        <f t="shared" si="29"/>
        <v>344.75061962601478</v>
      </c>
      <c r="M644" s="2">
        <f t="shared" si="30"/>
        <v>1</v>
      </c>
      <c r="N644" s="2" t="str">
        <f t="shared" si="31"/>
        <v/>
      </c>
      <c r="S644" s="2"/>
      <c r="T644" s="2"/>
      <c r="U644" s="2"/>
      <c r="V644" s="2"/>
      <c r="W644" s="2"/>
      <c r="X644" s="2"/>
      <c r="Y644" s="2"/>
      <c r="Z644" s="2"/>
    </row>
    <row r="645" spans="11:26" x14ac:dyDescent="0.25">
      <c r="K645" s="2">
        <v>631</v>
      </c>
      <c r="L645" s="2">
        <f t="shared" si="29"/>
        <v>345.27378860278031</v>
      </c>
      <c r="M645" s="2">
        <f t="shared" si="30"/>
        <v>1</v>
      </c>
      <c r="N645" s="2" t="str">
        <f t="shared" si="31"/>
        <v/>
      </c>
      <c r="S645" s="2"/>
      <c r="T645" s="2"/>
      <c r="U645" s="2"/>
      <c r="V645" s="2"/>
      <c r="W645" s="2"/>
      <c r="X645" s="2"/>
      <c r="Y645" s="2"/>
      <c r="Z645" s="2"/>
    </row>
    <row r="646" spans="11:26" x14ac:dyDescent="0.25">
      <c r="K646" s="2">
        <v>632</v>
      </c>
      <c r="L646" s="2">
        <f t="shared" si="29"/>
        <v>345.79693921365583</v>
      </c>
      <c r="M646" s="2">
        <f t="shared" si="30"/>
        <v>1</v>
      </c>
      <c r="N646" s="2" t="str">
        <f t="shared" si="31"/>
        <v/>
      </c>
      <c r="S646" s="2"/>
      <c r="T646" s="2"/>
      <c r="U646" s="2"/>
      <c r="V646" s="2"/>
      <c r="W646" s="2"/>
      <c r="X646" s="2"/>
      <c r="Y646" s="2"/>
      <c r="Z646" s="2"/>
    </row>
    <row r="647" spans="11:26" x14ac:dyDescent="0.25">
      <c r="K647" s="2">
        <v>633</v>
      </c>
      <c r="L647" s="2">
        <f t="shared" si="29"/>
        <v>346.32007150224808</v>
      </c>
      <c r="M647" s="2">
        <f t="shared" si="30"/>
        <v>1</v>
      </c>
      <c r="N647" s="2" t="str">
        <f t="shared" si="31"/>
        <v/>
      </c>
      <c r="S647" s="2"/>
      <c r="T647" s="2"/>
      <c r="U647" s="2"/>
      <c r="V647" s="2"/>
      <c r="W647" s="2"/>
      <c r="X647" s="2"/>
      <c r="Y647" s="2"/>
      <c r="Z647" s="2"/>
    </row>
    <row r="648" spans="11:26" x14ac:dyDescent="0.25">
      <c r="K648" s="2">
        <v>634</v>
      </c>
      <c r="L648" s="2">
        <f t="shared" si="29"/>
        <v>346.84318551199135</v>
      </c>
      <c r="M648" s="2">
        <f t="shared" si="30"/>
        <v>1</v>
      </c>
      <c r="N648" s="2" t="str">
        <f t="shared" si="31"/>
        <v/>
      </c>
      <c r="S648" s="2"/>
      <c r="T648" s="2"/>
      <c r="U648" s="2"/>
      <c r="V648" s="2"/>
      <c r="W648" s="2"/>
      <c r="X648" s="2"/>
      <c r="Y648" s="2"/>
      <c r="Z648" s="2"/>
    </row>
    <row r="649" spans="11:26" x14ac:dyDescent="0.25">
      <c r="K649" s="2">
        <v>635</v>
      </c>
      <c r="L649" s="2">
        <f t="shared" si="29"/>
        <v>347.36628128614876</v>
      </c>
      <c r="M649" s="2">
        <f t="shared" si="30"/>
        <v>1</v>
      </c>
      <c r="N649" s="2" t="str">
        <f t="shared" si="31"/>
        <v/>
      </c>
      <c r="S649" s="2"/>
      <c r="T649" s="2"/>
      <c r="U649" s="2"/>
      <c r="V649" s="2"/>
      <c r="W649" s="2"/>
      <c r="X649" s="2"/>
      <c r="Y649" s="2"/>
      <c r="Z649" s="2"/>
    </row>
    <row r="650" spans="11:26" x14ac:dyDescent="0.25">
      <c r="K650" s="2">
        <v>636</v>
      </c>
      <c r="L650" s="2">
        <f t="shared" si="29"/>
        <v>347.88935886781286</v>
      </c>
      <c r="M650" s="2">
        <f t="shared" si="30"/>
        <v>1</v>
      </c>
      <c r="N650" s="2" t="str">
        <f t="shared" si="31"/>
        <v/>
      </c>
      <c r="S650" s="2"/>
      <c r="T650" s="2"/>
      <c r="U650" s="2"/>
      <c r="V650" s="2"/>
      <c r="W650" s="2"/>
      <c r="X650" s="2"/>
      <c r="Y650" s="2"/>
      <c r="Z650" s="2"/>
    </row>
    <row r="651" spans="11:26" x14ac:dyDescent="0.25">
      <c r="K651" s="2">
        <v>637</v>
      </c>
      <c r="L651" s="2">
        <f t="shared" si="29"/>
        <v>348.41241829990696</v>
      </c>
      <c r="M651" s="2">
        <f t="shared" si="30"/>
        <v>1</v>
      </c>
      <c r="N651" s="2" t="str">
        <f t="shared" si="31"/>
        <v/>
      </c>
      <c r="S651" s="2"/>
      <c r="T651" s="2"/>
      <c r="U651" s="2"/>
      <c r="V651" s="2"/>
      <c r="W651" s="2"/>
      <c r="X651" s="2"/>
      <c r="Y651" s="2"/>
      <c r="Z651" s="2"/>
    </row>
    <row r="652" spans="11:26" x14ac:dyDescent="0.25">
      <c r="K652" s="2">
        <v>638</v>
      </c>
      <c r="L652" s="2">
        <f t="shared" si="29"/>
        <v>348.93545962518562</v>
      </c>
      <c r="M652" s="2">
        <f t="shared" si="30"/>
        <v>1</v>
      </c>
      <c r="N652" s="2" t="str">
        <f t="shared" si="31"/>
        <v/>
      </c>
      <c r="S652" s="2"/>
      <c r="T652" s="2"/>
      <c r="U652" s="2"/>
      <c r="V652" s="2"/>
      <c r="W652" s="2"/>
      <c r="X652" s="2"/>
      <c r="Y652" s="2"/>
      <c r="Z652" s="2"/>
    </row>
    <row r="653" spans="11:26" x14ac:dyDescent="0.25">
      <c r="K653" s="2">
        <v>639</v>
      </c>
      <c r="L653" s="2">
        <f t="shared" si="29"/>
        <v>349.45848288623597</v>
      </c>
      <c r="M653" s="2">
        <f t="shared" si="30"/>
        <v>1</v>
      </c>
      <c r="N653" s="2" t="str">
        <f t="shared" si="31"/>
        <v/>
      </c>
      <c r="S653" s="2"/>
      <c r="T653" s="2"/>
      <c r="U653" s="2"/>
      <c r="V653" s="2"/>
      <c r="W653" s="2"/>
      <c r="X653" s="2"/>
      <c r="Y653" s="2"/>
      <c r="Z653" s="2"/>
    </row>
    <row r="654" spans="11:26" x14ac:dyDescent="0.25">
      <c r="K654" s="2">
        <v>640</v>
      </c>
      <c r="L654" s="2">
        <f t="shared" si="29"/>
        <v>349.98148812547839</v>
      </c>
      <c r="M654" s="2">
        <f t="shared" si="30"/>
        <v>1</v>
      </c>
      <c r="N654" s="2" t="str">
        <f t="shared" si="31"/>
        <v/>
      </c>
      <c r="S654" s="2"/>
      <c r="T654" s="2"/>
      <c r="U654" s="2"/>
      <c r="V654" s="2"/>
      <c r="W654" s="2"/>
      <c r="X654" s="2"/>
      <c r="Y654" s="2"/>
      <c r="Z654" s="2"/>
    </row>
    <row r="655" spans="11:26" x14ac:dyDescent="0.25">
      <c r="K655" s="2">
        <v>641</v>
      </c>
      <c r="L655" s="2">
        <f t="shared" si="29"/>
        <v>350.5044753851675</v>
      </c>
      <c r="M655" s="2">
        <f t="shared" si="30"/>
        <v>1</v>
      </c>
      <c r="N655" s="2" t="str">
        <f t="shared" si="31"/>
        <v/>
      </c>
      <c r="S655" s="2"/>
      <c r="T655" s="2"/>
      <c r="U655" s="2"/>
      <c r="V655" s="2"/>
      <c r="W655" s="2"/>
      <c r="X655" s="2"/>
      <c r="Y655" s="2"/>
      <c r="Z655" s="2"/>
    </row>
    <row r="656" spans="11:26" x14ac:dyDescent="0.25">
      <c r="K656" s="2">
        <v>642</v>
      </c>
      <c r="L656" s="2">
        <f t="shared" ref="L656:L719" si="32">CHIINV($C$7,K656)/$J$15</f>
        <v>351.02744470739304</v>
      </c>
      <c r="M656" s="2">
        <f t="shared" si="30"/>
        <v>1</v>
      </c>
      <c r="N656" s="2" t="str">
        <f t="shared" si="31"/>
        <v/>
      </c>
      <c r="S656" s="2"/>
      <c r="T656" s="2"/>
      <c r="U656" s="2"/>
      <c r="V656" s="2"/>
      <c r="W656" s="2"/>
      <c r="X656" s="2"/>
      <c r="Y656" s="2"/>
      <c r="Z656" s="2"/>
    </row>
    <row r="657" spans="11:26" x14ac:dyDescent="0.25">
      <c r="K657" s="2">
        <v>643</v>
      </c>
      <c r="L657" s="2">
        <f t="shared" si="32"/>
        <v>351.55039613408087</v>
      </c>
      <c r="M657" s="2">
        <f t="shared" si="30"/>
        <v>1</v>
      </c>
      <c r="N657" s="2" t="str">
        <f t="shared" si="31"/>
        <v/>
      </c>
      <c r="S657" s="2"/>
      <c r="T657" s="2"/>
      <c r="U657" s="2"/>
      <c r="V657" s="2"/>
      <c r="W657" s="2"/>
      <c r="X657" s="2"/>
      <c r="Y657" s="2"/>
      <c r="Z657" s="2"/>
    </row>
    <row r="658" spans="11:26" x14ac:dyDescent="0.25">
      <c r="K658" s="2">
        <v>644</v>
      </c>
      <c r="L658" s="2">
        <f t="shared" si="32"/>
        <v>352.0733297069936</v>
      </c>
      <c r="M658" s="2">
        <f t="shared" si="30"/>
        <v>1</v>
      </c>
      <c r="N658" s="2" t="str">
        <f t="shared" si="31"/>
        <v/>
      </c>
      <c r="S658" s="2"/>
      <c r="T658" s="2"/>
      <c r="U658" s="2"/>
      <c r="V658" s="2"/>
      <c r="W658" s="2"/>
      <c r="X658" s="2"/>
      <c r="Y658" s="2"/>
      <c r="Z658" s="2"/>
    </row>
    <row r="659" spans="11:26" x14ac:dyDescent="0.25">
      <c r="K659" s="2">
        <v>645</v>
      </c>
      <c r="L659" s="2">
        <f t="shared" si="32"/>
        <v>352.59624546773188</v>
      </c>
      <c r="M659" s="2">
        <f t="shared" si="30"/>
        <v>1</v>
      </c>
      <c r="N659" s="2" t="str">
        <f t="shared" si="31"/>
        <v/>
      </c>
      <c r="S659" s="2"/>
      <c r="T659" s="2"/>
      <c r="U659" s="2"/>
      <c r="V659" s="2"/>
      <c r="W659" s="2"/>
      <c r="X659" s="2"/>
      <c r="Y659" s="2"/>
      <c r="Z659" s="2"/>
    </row>
    <row r="660" spans="11:26" x14ac:dyDescent="0.25">
      <c r="K660" s="2">
        <v>646</v>
      </c>
      <c r="L660" s="2">
        <f t="shared" si="32"/>
        <v>353.11914345773488</v>
      </c>
      <c r="M660" s="2">
        <f t="shared" si="30"/>
        <v>1</v>
      </c>
      <c r="N660" s="2" t="str">
        <f t="shared" si="31"/>
        <v/>
      </c>
      <c r="S660" s="2"/>
      <c r="T660" s="2"/>
      <c r="U660" s="2"/>
      <c r="V660" s="2"/>
      <c r="W660" s="2"/>
      <c r="X660" s="2"/>
      <c r="Y660" s="2"/>
      <c r="Z660" s="2"/>
    </row>
    <row r="661" spans="11:26" x14ac:dyDescent="0.25">
      <c r="K661" s="2">
        <v>647</v>
      </c>
      <c r="L661" s="2">
        <f t="shared" si="32"/>
        <v>353.64202371828145</v>
      </c>
      <c r="M661" s="2">
        <f t="shared" si="30"/>
        <v>1</v>
      </c>
      <c r="N661" s="2" t="str">
        <f t="shared" si="31"/>
        <v/>
      </c>
      <c r="S661" s="2"/>
      <c r="T661" s="2"/>
      <c r="U661" s="2"/>
      <c r="V661" s="2"/>
      <c r="W661" s="2"/>
      <c r="X661" s="2"/>
      <c r="Y661" s="2"/>
      <c r="Z661" s="2"/>
    </row>
    <row r="662" spans="11:26" x14ac:dyDescent="0.25">
      <c r="K662" s="2">
        <v>648</v>
      </c>
      <c r="L662" s="2">
        <f t="shared" si="32"/>
        <v>354.16488629049081</v>
      </c>
      <c r="M662" s="2">
        <f t="shared" si="30"/>
        <v>1</v>
      </c>
      <c r="N662" s="2" t="str">
        <f t="shared" si="31"/>
        <v/>
      </c>
      <c r="S662" s="2"/>
      <c r="T662" s="2"/>
      <c r="U662" s="2"/>
      <c r="V662" s="2"/>
      <c r="W662" s="2"/>
      <c r="X662" s="2"/>
      <c r="Y662" s="2"/>
      <c r="Z662" s="2"/>
    </row>
    <row r="663" spans="11:26" x14ac:dyDescent="0.25">
      <c r="K663" s="2">
        <v>649</v>
      </c>
      <c r="L663" s="2">
        <f t="shared" si="32"/>
        <v>354.68773121532354</v>
      </c>
      <c r="M663" s="2">
        <f t="shared" si="30"/>
        <v>1</v>
      </c>
      <c r="N663" s="2" t="str">
        <f t="shared" si="31"/>
        <v/>
      </c>
      <c r="S663" s="2"/>
      <c r="T663" s="2"/>
      <c r="U663" s="2"/>
      <c r="V663" s="2"/>
      <c r="W663" s="2"/>
      <c r="X663" s="2"/>
      <c r="Y663" s="2"/>
      <c r="Z663" s="2"/>
    </row>
    <row r="664" spans="11:26" x14ac:dyDescent="0.25">
      <c r="K664" s="2">
        <v>650</v>
      </c>
      <c r="L664" s="2">
        <f t="shared" si="32"/>
        <v>355.21055853358234</v>
      </c>
      <c r="M664" s="2">
        <f t="shared" si="30"/>
        <v>1</v>
      </c>
      <c r="N664" s="2" t="str">
        <f t="shared" si="31"/>
        <v/>
      </c>
      <c r="S664" s="2"/>
      <c r="T664" s="2"/>
      <c r="U664" s="2"/>
      <c r="V664" s="2"/>
      <c r="W664" s="2"/>
      <c r="X664" s="2"/>
      <c r="Y664" s="2"/>
      <c r="Z664" s="2"/>
    </row>
    <row r="665" spans="11:26" x14ac:dyDescent="0.25">
      <c r="K665" s="2">
        <v>651</v>
      </c>
      <c r="L665" s="2">
        <f t="shared" si="32"/>
        <v>355.73336828591283</v>
      </c>
      <c r="M665" s="2">
        <f t="shared" si="30"/>
        <v>1</v>
      </c>
      <c r="N665" s="2" t="str">
        <f t="shared" si="31"/>
        <v/>
      </c>
      <c r="S665" s="2"/>
      <c r="T665" s="2"/>
      <c r="U665" s="2"/>
      <c r="V665" s="2"/>
      <c r="W665" s="2"/>
      <c r="X665" s="2"/>
      <c r="Y665" s="2"/>
      <c r="Z665" s="2"/>
    </row>
    <row r="666" spans="11:26" x14ac:dyDescent="0.25">
      <c r="K666" s="2">
        <v>652</v>
      </c>
      <c r="L666" s="2">
        <f t="shared" si="32"/>
        <v>356.25616051280468</v>
      </c>
      <c r="M666" s="2">
        <f t="shared" si="30"/>
        <v>1</v>
      </c>
      <c r="N666" s="2" t="str">
        <f t="shared" si="31"/>
        <v/>
      </c>
      <c r="S666" s="2"/>
      <c r="T666" s="2"/>
      <c r="U666" s="2"/>
      <c r="V666" s="2"/>
      <c r="W666" s="2"/>
      <c r="X666" s="2"/>
      <c r="Y666" s="2"/>
      <c r="Z666" s="2"/>
    </row>
    <row r="667" spans="11:26" x14ac:dyDescent="0.25">
      <c r="K667" s="2">
        <v>653</v>
      </c>
      <c r="L667" s="2">
        <f t="shared" si="32"/>
        <v>356.77893525459211</v>
      </c>
      <c r="M667" s="2">
        <f t="shared" si="30"/>
        <v>1</v>
      </c>
      <c r="N667" s="2" t="str">
        <f t="shared" si="31"/>
        <v/>
      </c>
      <c r="S667" s="2"/>
      <c r="T667" s="2"/>
      <c r="U667" s="2"/>
      <c r="V667" s="2"/>
      <c r="W667" s="2"/>
      <c r="X667" s="2"/>
      <c r="Y667" s="2"/>
      <c r="Z667" s="2"/>
    </row>
    <row r="668" spans="11:26" x14ac:dyDescent="0.25">
      <c r="K668" s="2">
        <v>654</v>
      </c>
      <c r="L668" s="2">
        <f t="shared" si="32"/>
        <v>357.30169255145489</v>
      </c>
      <c r="M668" s="2">
        <f t="shared" si="30"/>
        <v>1</v>
      </c>
      <c r="N668" s="2" t="str">
        <f t="shared" si="31"/>
        <v/>
      </c>
      <c r="S668" s="2"/>
      <c r="T668" s="2"/>
      <c r="U668" s="2"/>
      <c r="V668" s="2"/>
      <c r="W668" s="2"/>
      <c r="X668" s="2"/>
      <c r="Y668" s="2"/>
      <c r="Z668" s="2"/>
    </row>
    <row r="669" spans="11:26" x14ac:dyDescent="0.25">
      <c r="K669" s="2">
        <v>655</v>
      </c>
      <c r="L669" s="2">
        <f t="shared" si="32"/>
        <v>357.82443244341914</v>
      </c>
      <c r="M669" s="2">
        <f t="shared" si="30"/>
        <v>1</v>
      </c>
      <c r="N669" s="2" t="str">
        <f t="shared" si="31"/>
        <v/>
      </c>
      <c r="S669" s="2"/>
      <c r="T669" s="2"/>
      <c r="U669" s="2"/>
      <c r="V669" s="2"/>
      <c r="W669" s="2"/>
      <c r="X669" s="2"/>
      <c r="Y669" s="2"/>
      <c r="Z669" s="2"/>
    </row>
    <row r="670" spans="11:26" x14ac:dyDescent="0.25">
      <c r="K670" s="2">
        <v>656</v>
      </c>
      <c r="L670" s="2">
        <f t="shared" si="32"/>
        <v>358.34715497035819</v>
      </c>
      <c r="M670" s="2">
        <f t="shared" ref="M670:M733" si="33">CHIDIST(L670,K670)</f>
        <v>1</v>
      </c>
      <c r="N670" s="2" t="str">
        <f t="shared" ref="N670:N733" si="34">IF(M670&lt;$C$11,K670,"")</f>
        <v/>
      </c>
      <c r="S670" s="2"/>
      <c r="T670" s="2"/>
      <c r="U670" s="2"/>
      <c r="V670" s="2"/>
      <c r="W670" s="2"/>
      <c r="X670" s="2"/>
      <c r="Y670" s="2"/>
      <c r="Z670" s="2"/>
    </row>
    <row r="671" spans="11:26" x14ac:dyDescent="0.25">
      <c r="K671" s="2">
        <v>657</v>
      </c>
      <c r="L671" s="2">
        <f t="shared" si="32"/>
        <v>358.86986017199325</v>
      </c>
      <c r="M671" s="2">
        <f t="shared" si="33"/>
        <v>1</v>
      </c>
      <c r="N671" s="2" t="str">
        <f t="shared" si="34"/>
        <v/>
      </c>
      <c r="S671" s="2"/>
      <c r="T671" s="2"/>
      <c r="U671" s="2"/>
      <c r="V671" s="2"/>
      <c r="W671" s="2"/>
      <c r="X671" s="2"/>
      <c r="Y671" s="2"/>
      <c r="Z671" s="2"/>
    </row>
    <row r="672" spans="11:26" x14ac:dyDescent="0.25">
      <c r="K672" s="2">
        <v>658</v>
      </c>
      <c r="L672" s="2">
        <f t="shared" si="32"/>
        <v>359.39254808789451</v>
      </c>
      <c r="M672" s="2">
        <f t="shared" si="33"/>
        <v>1</v>
      </c>
      <c r="N672" s="2" t="str">
        <f t="shared" si="34"/>
        <v/>
      </c>
      <c r="S672" s="2"/>
      <c r="T672" s="2"/>
      <c r="U672" s="2"/>
      <c r="V672" s="2"/>
      <c r="W672" s="2"/>
      <c r="X672" s="2"/>
      <c r="Y672" s="2"/>
      <c r="Z672" s="2"/>
    </row>
    <row r="673" spans="11:26" x14ac:dyDescent="0.25">
      <c r="K673" s="2">
        <v>659</v>
      </c>
      <c r="L673" s="2">
        <f t="shared" si="32"/>
        <v>359.91521875748157</v>
      </c>
      <c r="M673" s="2">
        <f t="shared" si="33"/>
        <v>1</v>
      </c>
      <c r="N673" s="2" t="str">
        <f t="shared" si="34"/>
        <v/>
      </c>
      <c r="S673" s="2"/>
      <c r="T673" s="2"/>
      <c r="U673" s="2"/>
      <c r="V673" s="2"/>
      <c r="W673" s="2"/>
      <c r="X673" s="2"/>
      <c r="Y673" s="2"/>
      <c r="Z673" s="2"/>
    </row>
    <row r="674" spans="11:26" x14ac:dyDescent="0.25">
      <c r="K674" s="2">
        <v>660</v>
      </c>
      <c r="L674" s="2">
        <f t="shared" si="32"/>
        <v>360.43787222002453</v>
      </c>
      <c r="M674" s="2">
        <f t="shared" si="33"/>
        <v>1</v>
      </c>
      <c r="N674" s="2" t="str">
        <f t="shared" si="34"/>
        <v/>
      </c>
      <c r="S674" s="2"/>
      <c r="T674" s="2"/>
      <c r="U674" s="2"/>
      <c r="V674" s="2"/>
      <c r="W674" s="2"/>
      <c r="X674" s="2"/>
      <c r="Y674" s="2"/>
      <c r="Z674" s="2"/>
    </row>
    <row r="675" spans="11:26" x14ac:dyDescent="0.25">
      <c r="K675" s="2">
        <v>661</v>
      </c>
      <c r="L675" s="2">
        <f t="shared" si="32"/>
        <v>360.96050851464469</v>
      </c>
      <c r="M675" s="2">
        <f t="shared" si="33"/>
        <v>1</v>
      </c>
      <c r="N675" s="2" t="str">
        <f t="shared" si="34"/>
        <v/>
      </c>
      <c r="S675" s="2"/>
      <c r="T675" s="2"/>
      <c r="U675" s="2"/>
      <c r="V675" s="2"/>
      <c r="W675" s="2"/>
      <c r="X675" s="2"/>
      <c r="Y675" s="2"/>
      <c r="Z675" s="2"/>
    </row>
    <row r="676" spans="11:26" x14ac:dyDescent="0.25">
      <c r="K676" s="2">
        <v>662</v>
      </c>
      <c r="L676" s="2">
        <f t="shared" si="32"/>
        <v>361.48312768031531</v>
      </c>
      <c r="M676" s="2">
        <f t="shared" si="33"/>
        <v>1</v>
      </c>
      <c r="N676" s="2" t="str">
        <f t="shared" si="34"/>
        <v/>
      </c>
      <c r="S676" s="2"/>
      <c r="T676" s="2"/>
      <c r="U676" s="2"/>
      <c r="V676" s="2"/>
      <c r="W676" s="2"/>
      <c r="X676" s="2"/>
      <c r="Y676" s="2"/>
      <c r="Z676" s="2"/>
    </row>
    <row r="677" spans="11:26" x14ac:dyDescent="0.25">
      <c r="K677" s="2">
        <v>663</v>
      </c>
      <c r="L677" s="2">
        <f t="shared" si="32"/>
        <v>362.00572975586238</v>
      </c>
      <c r="M677" s="2">
        <f t="shared" si="33"/>
        <v>1</v>
      </c>
      <c r="N677" s="2" t="str">
        <f t="shared" si="34"/>
        <v/>
      </c>
      <c r="S677" s="2"/>
      <c r="T677" s="2"/>
      <c r="U677" s="2"/>
      <c r="V677" s="2"/>
      <c r="W677" s="2"/>
      <c r="X677" s="2"/>
      <c r="Y677" s="2"/>
      <c r="Z677" s="2"/>
    </row>
    <row r="678" spans="11:26" x14ac:dyDescent="0.25">
      <c r="K678" s="2">
        <v>664</v>
      </c>
      <c r="L678" s="2">
        <f t="shared" si="32"/>
        <v>362.52831477996551</v>
      </c>
      <c r="M678" s="2">
        <f t="shared" si="33"/>
        <v>1</v>
      </c>
      <c r="N678" s="2" t="str">
        <f t="shared" si="34"/>
        <v/>
      </c>
      <c r="S678" s="2"/>
      <c r="T678" s="2"/>
      <c r="U678" s="2"/>
      <c r="V678" s="2"/>
      <c r="W678" s="2"/>
      <c r="X678" s="2"/>
      <c r="Y678" s="2"/>
      <c r="Z678" s="2"/>
    </row>
    <row r="679" spans="11:26" x14ac:dyDescent="0.25">
      <c r="K679" s="2">
        <v>665</v>
      </c>
      <c r="L679" s="2">
        <f t="shared" si="32"/>
        <v>363.05088279115859</v>
      </c>
      <c r="M679" s="2">
        <f t="shared" si="33"/>
        <v>1</v>
      </c>
      <c r="N679" s="2" t="str">
        <f t="shared" si="34"/>
        <v/>
      </c>
      <c r="S679" s="2"/>
      <c r="T679" s="2"/>
      <c r="U679" s="2"/>
      <c r="V679" s="2"/>
      <c r="W679" s="2"/>
      <c r="X679" s="2"/>
      <c r="Y679" s="2"/>
      <c r="Z679" s="2"/>
    </row>
    <row r="680" spans="11:26" x14ac:dyDescent="0.25">
      <c r="K680" s="2">
        <v>666</v>
      </c>
      <c r="L680" s="2">
        <f t="shared" si="32"/>
        <v>363.57343382783057</v>
      </c>
      <c r="M680" s="2">
        <f t="shared" si="33"/>
        <v>1</v>
      </c>
      <c r="N680" s="2" t="str">
        <f t="shared" si="34"/>
        <v/>
      </c>
      <c r="S680" s="2"/>
      <c r="T680" s="2"/>
      <c r="U680" s="2"/>
      <c r="V680" s="2"/>
      <c r="W680" s="2"/>
      <c r="X680" s="2"/>
      <c r="Y680" s="2"/>
      <c r="Z680" s="2"/>
    </row>
    <row r="681" spans="11:26" x14ac:dyDescent="0.25">
      <c r="K681" s="2">
        <v>667</v>
      </c>
      <c r="L681" s="2">
        <f t="shared" si="32"/>
        <v>364.09596792822629</v>
      </c>
      <c r="M681" s="2">
        <f t="shared" si="33"/>
        <v>1</v>
      </c>
      <c r="N681" s="2" t="str">
        <f t="shared" si="34"/>
        <v/>
      </c>
      <c r="S681" s="2"/>
      <c r="T681" s="2"/>
      <c r="U681" s="2"/>
      <c r="V681" s="2"/>
      <c r="W681" s="2"/>
      <c r="X681" s="2"/>
      <c r="Y681" s="2"/>
      <c r="Z681" s="2"/>
    </row>
    <row r="682" spans="11:26" x14ac:dyDescent="0.25">
      <c r="K682" s="2">
        <v>668</v>
      </c>
      <c r="L682" s="2">
        <f t="shared" si="32"/>
        <v>364.61848513044708</v>
      </c>
      <c r="M682" s="2">
        <f t="shared" si="33"/>
        <v>1</v>
      </c>
      <c r="N682" s="2" t="str">
        <f t="shared" si="34"/>
        <v/>
      </c>
      <c r="S682" s="2"/>
      <c r="T682" s="2"/>
      <c r="U682" s="2"/>
      <c r="V682" s="2"/>
      <c r="W682" s="2"/>
      <c r="X682" s="2"/>
      <c r="Y682" s="2"/>
      <c r="Z682" s="2"/>
    </row>
    <row r="683" spans="11:26" x14ac:dyDescent="0.25">
      <c r="K683" s="2">
        <v>669</v>
      </c>
      <c r="L683" s="2">
        <f t="shared" si="32"/>
        <v>365.14098547245175</v>
      </c>
      <c r="M683" s="2">
        <f t="shared" si="33"/>
        <v>1</v>
      </c>
      <c r="N683" s="2" t="str">
        <f t="shared" si="34"/>
        <v/>
      </c>
      <c r="S683" s="2"/>
      <c r="T683" s="2"/>
      <c r="U683" s="2"/>
      <c r="V683" s="2"/>
      <c r="W683" s="2"/>
      <c r="X683" s="2"/>
      <c r="Y683" s="2"/>
      <c r="Z683" s="2"/>
    </row>
    <row r="684" spans="11:26" x14ac:dyDescent="0.25">
      <c r="K684" s="2">
        <v>670</v>
      </c>
      <c r="L684" s="2">
        <f t="shared" si="32"/>
        <v>365.66346899205723</v>
      </c>
      <c r="M684" s="2">
        <f t="shared" si="33"/>
        <v>1</v>
      </c>
      <c r="N684" s="2" t="str">
        <f t="shared" si="34"/>
        <v/>
      </c>
      <c r="S684" s="2"/>
      <c r="T684" s="2"/>
      <c r="U684" s="2"/>
      <c r="V684" s="2"/>
      <c r="W684" s="2"/>
      <c r="X684" s="2"/>
      <c r="Y684" s="2"/>
      <c r="Z684" s="2"/>
    </row>
    <row r="685" spans="11:26" x14ac:dyDescent="0.25">
      <c r="K685" s="2">
        <v>671</v>
      </c>
      <c r="L685" s="2">
        <f t="shared" si="32"/>
        <v>366.18593572693914</v>
      </c>
      <c r="M685" s="2">
        <f t="shared" si="33"/>
        <v>1</v>
      </c>
      <c r="N685" s="2" t="str">
        <f t="shared" si="34"/>
        <v/>
      </c>
      <c r="S685" s="2"/>
      <c r="T685" s="2"/>
      <c r="U685" s="2"/>
      <c r="V685" s="2"/>
      <c r="W685" s="2"/>
      <c r="X685" s="2"/>
      <c r="Y685" s="2"/>
      <c r="Z685" s="2"/>
    </row>
    <row r="686" spans="11:26" x14ac:dyDescent="0.25">
      <c r="K686" s="2">
        <v>672</v>
      </c>
      <c r="L686" s="2">
        <f t="shared" si="32"/>
        <v>366.70838571463281</v>
      </c>
      <c r="M686" s="2">
        <f t="shared" si="33"/>
        <v>1</v>
      </c>
      <c r="N686" s="2" t="str">
        <f t="shared" si="34"/>
        <v/>
      </c>
      <c r="S686" s="2"/>
      <c r="T686" s="2"/>
      <c r="U686" s="2"/>
      <c r="V686" s="2"/>
      <c r="W686" s="2"/>
      <c r="X686" s="2"/>
      <c r="Y686" s="2"/>
      <c r="Z686" s="2"/>
    </row>
    <row r="687" spans="11:26" x14ac:dyDescent="0.25">
      <c r="K687" s="2">
        <v>673</v>
      </c>
      <c r="L687" s="2">
        <f t="shared" si="32"/>
        <v>367.23081899253378</v>
      </c>
      <c r="M687" s="2">
        <f t="shared" si="33"/>
        <v>1</v>
      </c>
      <c r="N687" s="2" t="str">
        <f t="shared" si="34"/>
        <v/>
      </c>
      <c r="S687" s="2"/>
      <c r="T687" s="2"/>
      <c r="U687" s="2"/>
      <c r="V687" s="2"/>
      <c r="W687" s="2"/>
      <c r="X687" s="2"/>
      <c r="Y687" s="2"/>
      <c r="Z687" s="2"/>
    </row>
    <row r="688" spans="11:26" x14ac:dyDescent="0.25">
      <c r="K688" s="2">
        <v>674</v>
      </c>
      <c r="L688" s="2">
        <f t="shared" si="32"/>
        <v>367.75323559789877</v>
      </c>
      <c r="M688" s="2">
        <f t="shared" si="33"/>
        <v>1</v>
      </c>
      <c r="N688" s="2" t="str">
        <f t="shared" si="34"/>
        <v/>
      </c>
      <c r="S688" s="2"/>
      <c r="T688" s="2"/>
      <c r="U688" s="2"/>
      <c r="V688" s="2"/>
      <c r="W688" s="2"/>
      <c r="X688" s="2"/>
      <c r="Y688" s="2"/>
      <c r="Z688" s="2"/>
    </row>
    <row r="689" spans="11:26" x14ac:dyDescent="0.25">
      <c r="K689" s="2">
        <v>675</v>
      </c>
      <c r="L689" s="2">
        <f t="shared" si="32"/>
        <v>368.27563556784605</v>
      </c>
      <c r="M689" s="2">
        <f t="shared" si="33"/>
        <v>1</v>
      </c>
      <c r="N689" s="2" t="str">
        <f t="shared" si="34"/>
        <v/>
      </c>
      <c r="S689" s="2"/>
      <c r="T689" s="2"/>
      <c r="U689" s="2"/>
      <c r="V689" s="2"/>
      <c r="W689" s="2"/>
      <c r="X689" s="2"/>
      <c r="Y689" s="2"/>
      <c r="Z689" s="2"/>
    </row>
    <row r="690" spans="11:26" x14ac:dyDescent="0.25">
      <c r="K690" s="2">
        <v>676</v>
      </c>
      <c r="L690" s="2">
        <f t="shared" si="32"/>
        <v>368.79801893935655</v>
      </c>
      <c r="M690" s="2">
        <f t="shared" si="33"/>
        <v>1</v>
      </c>
      <c r="N690" s="2" t="str">
        <f t="shared" si="34"/>
        <v/>
      </c>
      <c r="S690" s="2"/>
      <c r="T690" s="2"/>
      <c r="U690" s="2"/>
      <c r="V690" s="2"/>
      <c r="W690" s="2"/>
      <c r="X690" s="2"/>
      <c r="Y690" s="2"/>
      <c r="Z690" s="2"/>
    </row>
    <row r="691" spans="11:26" x14ac:dyDescent="0.25">
      <c r="K691" s="2">
        <v>677</v>
      </c>
      <c r="L691" s="2">
        <f t="shared" si="32"/>
        <v>369.32038574927429</v>
      </c>
      <c r="M691" s="2">
        <f t="shared" si="33"/>
        <v>1</v>
      </c>
      <c r="N691" s="2" t="str">
        <f t="shared" si="34"/>
        <v/>
      </c>
      <c r="S691" s="2"/>
      <c r="T691" s="2"/>
      <c r="U691" s="2"/>
      <c r="V691" s="2"/>
      <c r="W691" s="2"/>
      <c r="X691" s="2"/>
      <c r="Y691" s="2"/>
      <c r="Z691" s="2"/>
    </row>
    <row r="692" spans="11:26" x14ac:dyDescent="0.25">
      <c r="K692" s="2">
        <v>678</v>
      </c>
      <c r="L692" s="2">
        <f t="shared" si="32"/>
        <v>369.84273603430728</v>
      </c>
      <c r="M692" s="2">
        <f t="shared" si="33"/>
        <v>1</v>
      </c>
      <c r="N692" s="2" t="str">
        <f t="shared" si="34"/>
        <v/>
      </c>
      <c r="S692" s="2"/>
      <c r="T692" s="2"/>
      <c r="U692" s="2"/>
      <c r="V692" s="2"/>
      <c r="W692" s="2"/>
      <c r="X692" s="2"/>
      <c r="Y692" s="2"/>
      <c r="Z692" s="2"/>
    </row>
    <row r="693" spans="11:26" x14ac:dyDescent="0.25">
      <c r="K693" s="2">
        <v>679</v>
      </c>
      <c r="L693" s="2">
        <f t="shared" si="32"/>
        <v>370.36506983102794</v>
      </c>
      <c r="M693" s="2">
        <f t="shared" si="33"/>
        <v>1</v>
      </c>
      <c r="N693" s="2" t="str">
        <f t="shared" si="34"/>
        <v/>
      </c>
      <c r="S693" s="2"/>
      <c r="T693" s="2"/>
      <c r="U693" s="2"/>
      <c r="V693" s="2"/>
      <c r="W693" s="2"/>
      <c r="X693" s="2"/>
      <c r="Y693" s="2"/>
      <c r="Z693" s="2"/>
    </row>
    <row r="694" spans="11:26" x14ac:dyDescent="0.25">
      <c r="K694" s="2">
        <v>680</v>
      </c>
      <c r="L694" s="2">
        <f t="shared" si="32"/>
        <v>370.88738717587421</v>
      </c>
      <c r="M694" s="2">
        <f t="shared" si="33"/>
        <v>1</v>
      </c>
      <c r="N694" s="2" t="str">
        <f t="shared" si="34"/>
        <v/>
      </c>
      <c r="S694" s="2"/>
      <c r="T694" s="2"/>
      <c r="U694" s="2"/>
      <c r="V694" s="2"/>
      <c r="W694" s="2"/>
      <c r="X694" s="2"/>
      <c r="Y694" s="2"/>
      <c r="Z694" s="2"/>
    </row>
    <row r="695" spans="11:26" x14ac:dyDescent="0.25">
      <c r="K695" s="2">
        <v>681</v>
      </c>
      <c r="L695" s="2">
        <f t="shared" si="32"/>
        <v>371.40968810514983</v>
      </c>
      <c r="M695" s="2">
        <f t="shared" si="33"/>
        <v>1</v>
      </c>
      <c r="N695" s="2" t="str">
        <f t="shared" si="34"/>
        <v/>
      </c>
      <c r="S695" s="2"/>
      <c r="T695" s="2"/>
      <c r="U695" s="2"/>
      <c r="V695" s="2"/>
      <c r="W695" s="2"/>
      <c r="X695" s="2"/>
      <c r="Y695" s="2"/>
      <c r="Z695" s="2"/>
    </row>
    <row r="696" spans="11:26" x14ac:dyDescent="0.25">
      <c r="K696" s="2">
        <v>682</v>
      </c>
      <c r="L696" s="2">
        <f t="shared" si="32"/>
        <v>371.93197265502539</v>
      </c>
      <c r="M696" s="2">
        <f t="shared" si="33"/>
        <v>1</v>
      </c>
      <c r="N696" s="2" t="str">
        <f t="shared" si="34"/>
        <v/>
      </c>
      <c r="S696" s="2"/>
      <c r="T696" s="2"/>
      <c r="U696" s="2"/>
      <c r="V696" s="2"/>
      <c r="W696" s="2"/>
      <c r="X696" s="2"/>
      <c r="Y696" s="2"/>
      <c r="Z696" s="2"/>
    </row>
    <row r="697" spans="11:26" x14ac:dyDescent="0.25">
      <c r="K697" s="2">
        <v>683</v>
      </c>
      <c r="L697" s="2">
        <f t="shared" si="32"/>
        <v>372.45424086153866</v>
      </c>
      <c r="M697" s="2">
        <f t="shared" si="33"/>
        <v>1</v>
      </c>
      <c r="N697" s="2" t="str">
        <f t="shared" si="34"/>
        <v/>
      </c>
      <c r="S697" s="2"/>
      <c r="T697" s="2"/>
      <c r="U697" s="2"/>
      <c r="V697" s="2"/>
      <c r="W697" s="2"/>
      <c r="X697" s="2"/>
      <c r="Y697" s="2"/>
      <c r="Z697" s="2"/>
    </row>
    <row r="698" spans="11:26" x14ac:dyDescent="0.25">
      <c r="K698" s="2">
        <v>684</v>
      </c>
      <c r="L698" s="2">
        <f t="shared" si="32"/>
        <v>372.97649276059559</v>
      </c>
      <c r="M698" s="2">
        <f t="shared" si="33"/>
        <v>1</v>
      </c>
      <c r="N698" s="2" t="str">
        <f t="shared" si="34"/>
        <v/>
      </c>
      <c r="S698" s="2"/>
      <c r="T698" s="2"/>
      <c r="U698" s="2"/>
      <c r="V698" s="2"/>
      <c r="W698" s="2"/>
      <c r="X698" s="2"/>
      <c r="Y698" s="2"/>
      <c r="Z698" s="2"/>
    </row>
    <row r="699" spans="11:26" x14ac:dyDescent="0.25">
      <c r="K699" s="2">
        <v>685</v>
      </c>
      <c r="L699" s="2">
        <f t="shared" si="32"/>
        <v>373.4987283879708</v>
      </c>
      <c r="M699" s="2">
        <f t="shared" si="33"/>
        <v>1</v>
      </c>
      <c r="N699" s="2" t="str">
        <f t="shared" si="34"/>
        <v/>
      </c>
      <c r="S699" s="2"/>
      <c r="T699" s="2"/>
      <c r="U699" s="2"/>
      <c r="V699" s="2"/>
      <c r="W699" s="2"/>
      <c r="X699" s="2"/>
      <c r="Y699" s="2"/>
      <c r="Z699" s="2"/>
    </row>
    <row r="700" spans="11:26" x14ac:dyDescent="0.25">
      <c r="K700" s="2">
        <v>686</v>
      </c>
      <c r="L700" s="2">
        <f t="shared" si="32"/>
        <v>374.0209477793083</v>
      </c>
      <c r="M700" s="2">
        <f t="shared" si="33"/>
        <v>1</v>
      </c>
      <c r="N700" s="2" t="str">
        <f t="shared" si="34"/>
        <v/>
      </c>
      <c r="S700" s="2"/>
      <c r="T700" s="2"/>
      <c r="U700" s="2"/>
      <c r="V700" s="2"/>
      <c r="W700" s="2"/>
      <c r="X700" s="2"/>
      <c r="Y700" s="2"/>
      <c r="Z700" s="2"/>
    </row>
    <row r="701" spans="11:26" x14ac:dyDescent="0.25">
      <c r="K701" s="2">
        <v>687</v>
      </c>
      <c r="L701" s="2">
        <f t="shared" si="32"/>
        <v>374.54315097012221</v>
      </c>
      <c r="M701" s="2">
        <f t="shared" si="33"/>
        <v>1</v>
      </c>
      <c r="N701" s="2" t="str">
        <f t="shared" si="34"/>
        <v/>
      </c>
      <c r="S701" s="2"/>
      <c r="T701" s="2"/>
      <c r="U701" s="2"/>
      <c r="V701" s="2"/>
      <c r="W701" s="2"/>
      <c r="X701" s="2"/>
      <c r="Y701" s="2"/>
      <c r="Z701" s="2"/>
    </row>
    <row r="702" spans="11:26" x14ac:dyDescent="0.25">
      <c r="K702" s="2">
        <v>688</v>
      </c>
      <c r="L702" s="2">
        <f t="shared" si="32"/>
        <v>375.06533799579722</v>
      </c>
      <c r="M702" s="2">
        <f t="shared" si="33"/>
        <v>1</v>
      </c>
      <c r="N702" s="2" t="str">
        <f t="shared" si="34"/>
        <v/>
      </c>
      <c r="S702" s="2"/>
      <c r="T702" s="2"/>
      <c r="U702" s="2"/>
      <c r="V702" s="2"/>
      <c r="W702" s="2"/>
      <c r="X702" s="2"/>
      <c r="Y702" s="2"/>
      <c r="Z702" s="2"/>
    </row>
    <row r="703" spans="11:26" x14ac:dyDescent="0.25">
      <c r="K703" s="2">
        <v>689</v>
      </c>
      <c r="L703" s="2">
        <f t="shared" si="32"/>
        <v>375.58750889158955</v>
      </c>
      <c r="M703" s="2">
        <f t="shared" si="33"/>
        <v>1</v>
      </c>
      <c r="N703" s="2" t="str">
        <f t="shared" si="34"/>
        <v/>
      </c>
      <c r="S703" s="2"/>
      <c r="T703" s="2"/>
      <c r="U703" s="2"/>
      <c r="V703" s="2"/>
      <c r="W703" s="2"/>
      <c r="X703" s="2"/>
      <c r="Y703" s="2"/>
      <c r="Z703" s="2"/>
    </row>
    <row r="704" spans="11:26" x14ac:dyDescent="0.25">
      <c r="K704" s="2">
        <v>690</v>
      </c>
      <c r="L704" s="2">
        <f t="shared" si="32"/>
        <v>376.10966369262741</v>
      </c>
      <c r="M704" s="2">
        <f t="shared" si="33"/>
        <v>1</v>
      </c>
      <c r="N704" s="2" t="str">
        <f t="shared" si="34"/>
        <v/>
      </c>
      <c r="S704" s="2"/>
      <c r="T704" s="2"/>
      <c r="U704" s="2"/>
      <c r="V704" s="2"/>
      <c r="W704" s="2"/>
      <c r="X704" s="2"/>
      <c r="Y704" s="2"/>
      <c r="Z704" s="2"/>
    </row>
    <row r="705" spans="11:26" x14ac:dyDescent="0.25">
      <c r="K705" s="2">
        <v>691</v>
      </c>
      <c r="L705" s="2">
        <f t="shared" si="32"/>
        <v>376.63180243391162</v>
      </c>
      <c r="M705" s="2">
        <f t="shared" si="33"/>
        <v>1</v>
      </c>
      <c r="N705" s="2" t="str">
        <f t="shared" si="34"/>
        <v/>
      </c>
      <c r="S705" s="2"/>
      <c r="T705" s="2"/>
      <c r="U705" s="2"/>
      <c r="V705" s="2"/>
      <c r="W705" s="2"/>
      <c r="X705" s="2"/>
      <c r="Y705" s="2"/>
      <c r="Z705" s="2"/>
    </row>
    <row r="706" spans="11:26" x14ac:dyDescent="0.25">
      <c r="K706" s="2">
        <v>692</v>
      </c>
      <c r="L706" s="2">
        <f t="shared" si="32"/>
        <v>377.15392515031641</v>
      </c>
      <c r="M706" s="2">
        <f t="shared" si="33"/>
        <v>1</v>
      </c>
      <c r="N706" s="2" t="str">
        <f t="shared" si="34"/>
        <v/>
      </c>
      <c r="S706" s="2"/>
      <c r="T706" s="2"/>
      <c r="U706" s="2"/>
      <c r="V706" s="2"/>
      <c r="W706" s="2"/>
      <c r="X706" s="2"/>
      <c r="Y706" s="2"/>
      <c r="Z706" s="2"/>
    </row>
    <row r="707" spans="11:26" x14ac:dyDescent="0.25">
      <c r="K707" s="2">
        <v>693</v>
      </c>
      <c r="L707" s="2">
        <f t="shared" si="32"/>
        <v>377.67603187658995</v>
      </c>
      <c r="M707" s="2">
        <f t="shared" si="33"/>
        <v>1</v>
      </c>
      <c r="N707" s="2" t="str">
        <f t="shared" si="34"/>
        <v/>
      </c>
      <c r="S707" s="2"/>
      <c r="T707" s="2"/>
      <c r="U707" s="2"/>
      <c r="V707" s="2"/>
      <c r="W707" s="2"/>
      <c r="X707" s="2"/>
      <c r="Y707" s="2"/>
      <c r="Z707" s="2"/>
    </row>
    <row r="708" spans="11:26" x14ac:dyDescent="0.25">
      <c r="K708" s="2">
        <v>694</v>
      </c>
      <c r="L708" s="2">
        <f t="shared" si="32"/>
        <v>378.19812264735492</v>
      </c>
      <c r="M708" s="2">
        <f t="shared" si="33"/>
        <v>1</v>
      </c>
      <c r="N708" s="2" t="str">
        <f t="shared" si="34"/>
        <v/>
      </c>
      <c r="S708" s="2"/>
      <c r="T708" s="2"/>
      <c r="U708" s="2"/>
      <c r="V708" s="2"/>
      <c r="W708" s="2"/>
      <c r="X708" s="2"/>
      <c r="Y708" s="2"/>
      <c r="Z708" s="2"/>
    </row>
    <row r="709" spans="11:26" x14ac:dyDescent="0.25">
      <c r="K709" s="2">
        <v>695</v>
      </c>
      <c r="L709" s="2">
        <f t="shared" si="32"/>
        <v>378.72019749710944</v>
      </c>
      <c r="M709" s="2">
        <f t="shared" si="33"/>
        <v>1</v>
      </c>
      <c r="N709" s="2" t="str">
        <f t="shared" si="34"/>
        <v/>
      </c>
      <c r="S709" s="2"/>
      <c r="T709" s="2"/>
      <c r="U709" s="2"/>
      <c r="V709" s="2"/>
      <c r="W709" s="2"/>
      <c r="X709" s="2"/>
      <c r="Y709" s="2"/>
      <c r="Z709" s="2"/>
    </row>
    <row r="710" spans="11:26" x14ac:dyDescent="0.25">
      <c r="K710" s="2">
        <v>696</v>
      </c>
      <c r="L710" s="2">
        <f t="shared" si="32"/>
        <v>379.24225646022722</v>
      </c>
      <c r="M710" s="2">
        <f t="shared" si="33"/>
        <v>1</v>
      </c>
      <c r="N710" s="2" t="str">
        <f t="shared" si="34"/>
        <v/>
      </c>
      <c r="S710" s="2"/>
      <c r="T710" s="2"/>
      <c r="U710" s="2"/>
      <c r="V710" s="2"/>
      <c r="W710" s="2"/>
      <c r="X710" s="2"/>
      <c r="Y710" s="2"/>
      <c r="Z710" s="2"/>
    </row>
    <row r="711" spans="11:26" x14ac:dyDescent="0.25">
      <c r="K711" s="2">
        <v>697</v>
      </c>
      <c r="L711" s="2">
        <f t="shared" si="32"/>
        <v>379.76429957095877</v>
      </c>
      <c r="M711" s="2">
        <f t="shared" si="33"/>
        <v>1</v>
      </c>
      <c r="N711" s="2" t="str">
        <f t="shared" si="34"/>
        <v/>
      </c>
      <c r="S711" s="2"/>
      <c r="T711" s="2"/>
      <c r="U711" s="2"/>
      <c r="V711" s="2"/>
      <c r="W711" s="2"/>
      <c r="X711" s="2"/>
      <c r="Y711" s="2"/>
      <c r="Z711" s="2"/>
    </row>
    <row r="712" spans="11:26" x14ac:dyDescent="0.25">
      <c r="K712" s="2">
        <v>698</v>
      </c>
      <c r="L712" s="2">
        <f t="shared" si="32"/>
        <v>380.28632686343144</v>
      </c>
      <c r="M712" s="2">
        <f t="shared" si="33"/>
        <v>1</v>
      </c>
      <c r="N712" s="2" t="str">
        <f t="shared" si="34"/>
        <v/>
      </c>
      <c r="S712" s="2"/>
      <c r="T712" s="2"/>
      <c r="U712" s="2"/>
      <c r="V712" s="2"/>
      <c r="W712" s="2"/>
      <c r="X712" s="2"/>
      <c r="Y712" s="2"/>
      <c r="Z712" s="2"/>
    </row>
    <row r="713" spans="11:26" x14ac:dyDescent="0.25">
      <c r="K713" s="2">
        <v>699</v>
      </c>
      <c r="L713" s="2">
        <f t="shared" si="32"/>
        <v>380.80833837165039</v>
      </c>
      <c r="M713" s="2">
        <f t="shared" si="33"/>
        <v>1</v>
      </c>
      <c r="N713" s="2" t="str">
        <f t="shared" si="34"/>
        <v/>
      </c>
      <c r="S713" s="2"/>
      <c r="T713" s="2"/>
      <c r="U713" s="2"/>
      <c r="V713" s="2"/>
      <c r="W713" s="2"/>
      <c r="X713" s="2"/>
      <c r="Y713" s="2"/>
      <c r="Z713" s="2"/>
    </row>
    <row r="714" spans="11:26" x14ac:dyDescent="0.25">
      <c r="K714" s="2">
        <v>700</v>
      </c>
      <c r="L714" s="2">
        <f t="shared" si="32"/>
        <v>381.33033412949919</v>
      </c>
      <c r="M714" s="2">
        <f t="shared" si="33"/>
        <v>1</v>
      </c>
      <c r="N714" s="2" t="str">
        <f t="shared" si="34"/>
        <v/>
      </c>
      <c r="S714" s="2"/>
      <c r="T714" s="2"/>
      <c r="U714" s="2"/>
      <c r="V714" s="2"/>
      <c r="W714" s="2"/>
      <c r="X714" s="2"/>
      <c r="Y714" s="2"/>
      <c r="Z714" s="2"/>
    </row>
    <row r="715" spans="11:26" x14ac:dyDescent="0.25">
      <c r="K715" s="2">
        <v>701</v>
      </c>
      <c r="L715" s="2">
        <f t="shared" si="32"/>
        <v>381.85231417074033</v>
      </c>
      <c r="M715" s="2">
        <f t="shared" si="33"/>
        <v>1</v>
      </c>
      <c r="N715" s="2" t="str">
        <f t="shared" si="34"/>
        <v/>
      </c>
      <c r="S715" s="2"/>
      <c r="T715" s="2"/>
      <c r="U715" s="2"/>
      <c r="V715" s="2"/>
      <c r="W715" s="2"/>
      <c r="X715" s="2"/>
      <c r="Y715" s="2"/>
      <c r="Z715" s="2"/>
    </row>
    <row r="716" spans="11:26" x14ac:dyDescent="0.25">
      <c r="K716" s="2">
        <v>702</v>
      </c>
      <c r="L716" s="2">
        <f t="shared" si="32"/>
        <v>382.37427852901573</v>
      </c>
      <c r="M716" s="2">
        <f t="shared" si="33"/>
        <v>1</v>
      </c>
      <c r="N716" s="2" t="str">
        <f t="shared" si="34"/>
        <v/>
      </c>
      <c r="S716" s="2"/>
      <c r="T716" s="2"/>
      <c r="U716" s="2"/>
      <c r="V716" s="2"/>
      <c r="W716" s="2"/>
      <c r="X716" s="2"/>
      <c r="Y716" s="2"/>
      <c r="Z716" s="2"/>
    </row>
    <row r="717" spans="11:26" x14ac:dyDescent="0.25">
      <c r="K717" s="2">
        <v>703</v>
      </c>
      <c r="L717" s="2">
        <f t="shared" si="32"/>
        <v>382.8962272378476</v>
      </c>
      <c r="M717" s="2">
        <f t="shared" si="33"/>
        <v>1</v>
      </c>
      <c r="N717" s="2" t="str">
        <f t="shared" si="34"/>
        <v/>
      </c>
      <c r="S717" s="2"/>
      <c r="T717" s="2"/>
      <c r="U717" s="2"/>
      <c r="V717" s="2"/>
      <c r="W717" s="2"/>
      <c r="X717" s="2"/>
      <c r="Y717" s="2"/>
      <c r="Z717" s="2"/>
    </row>
    <row r="718" spans="11:26" x14ac:dyDescent="0.25">
      <c r="K718" s="2">
        <v>704</v>
      </c>
      <c r="L718" s="2">
        <f t="shared" si="32"/>
        <v>383.41816033063878</v>
      </c>
      <c r="M718" s="2">
        <f t="shared" si="33"/>
        <v>1</v>
      </c>
      <c r="N718" s="2" t="str">
        <f t="shared" si="34"/>
        <v/>
      </c>
      <c r="S718" s="2"/>
      <c r="T718" s="2"/>
      <c r="U718" s="2"/>
      <c r="V718" s="2"/>
      <c r="W718" s="2"/>
      <c r="X718" s="2"/>
      <c r="Y718" s="2"/>
      <c r="Z718" s="2"/>
    </row>
    <row r="719" spans="11:26" x14ac:dyDescent="0.25">
      <c r="K719" s="2">
        <v>705</v>
      </c>
      <c r="L719" s="2">
        <f t="shared" si="32"/>
        <v>383.94007784067361</v>
      </c>
      <c r="M719" s="2">
        <f t="shared" si="33"/>
        <v>1</v>
      </c>
      <c r="N719" s="2" t="str">
        <f t="shared" si="34"/>
        <v/>
      </c>
      <c r="S719" s="2"/>
      <c r="T719" s="2"/>
      <c r="U719" s="2"/>
      <c r="V719" s="2"/>
      <c r="W719" s="2"/>
      <c r="X719" s="2"/>
      <c r="Y719" s="2"/>
      <c r="Z719" s="2"/>
    </row>
    <row r="720" spans="11:26" x14ac:dyDescent="0.25">
      <c r="K720" s="2">
        <v>706</v>
      </c>
      <c r="L720" s="2">
        <f t="shared" ref="L720:L783" si="35">CHIINV($C$7,K720)/$J$15</f>
        <v>384.46197980111828</v>
      </c>
      <c r="M720" s="2">
        <f t="shared" si="33"/>
        <v>1</v>
      </c>
      <c r="N720" s="2" t="str">
        <f t="shared" si="34"/>
        <v/>
      </c>
      <c r="S720" s="2"/>
      <c r="T720" s="2"/>
      <c r="U720" s="2"/>
      <c r="V720" s="2"/>
      <c r="W720" s="2"/>
      <c r="X720" s="2"/>
      <c r="Y720" s="2"/>
      <c r="Z720" s="2"/>
    </row>
    <row r="721" spans="11:26" x14ac:dyDescent="0.25">
      <c r="K721" s="2">
        <v>707</v>
      </c>
      <c r="L721" s="2">
        <f t="shared" si="35"/>
        <v>384.98386624502137</v>
      </c>
      <c r="M721" s="2">
        <f t="shared" si="33"/>
        <v>1</v>
      </c>
      <c r="N721" s="2" t="str">
        <f t="shared" si="34"/>
        <v/>
      </c>
      <c r="S721" s="2"/>
      <c r="T721" s="2"/>
      <c r="U721" s="2"/>
      <c r="V721" s="2"/>
      <c r="W721" s="2"/>
      <c r="X721" s="2"/>
      <c r="Y721" s="2"/>
      <c r="Z721" s="2"/>
    </row>
    <row r="722" spans="11:26" x14ac:dyDescent="0.25">
      <c r="K722" s="2">
        <v>708</v>
      </c>
      <c r="L722" s="2">
        <f t="shared" si="35"/>
        <v>385.50573720531474</v>
      </c>
      <c r="M722" s="2">
        <f t="shared" si="33"/>
        <v>1</v>
      </c>
      <c r="N722" s="2" t="str">
        <f t="shared" si="34"/>
        <v/>
      </c>
      <c r="S722" s="2"/>
      <c r="T722" s="2"/>
      <c r="U722" s="2"/>
      <c r="V722" s="2"/>
      <c r="W722" s="2"/>
      <c r="X722" s="2"/>
      <c r="Y722" s="2"/>
      <c r="Z722" s="2"/>
    </row>
    <row r="723" spans="11:26" x14ac:dyDescent="0.25">
      <c r="K723" s="2">
        <v>709</v>
      </c>
      <c r="L723" s="2">
        <f t="shared" si="35"/>
        <v>386.02759271481386</v>
      </c>
      <c r="M723" s="2">
        <f t="shared" si="33"/>
        <v>1</v>
      </c>
      <c r="N723" s="2" t="str">
        <f t="shared" si="34"/>
        <v/>
      </c>
      <c r="S723" s="2"/>
      <c r="T723" s="2"/>
      <c r="U723" s="2"/>
      <c r="V723" s="2"/>
      <c r="W723" s="2"/>
      <c r="X723" s="2"/>
      <c r="Y723" s="2"/>
      <c r="Z723" s="2"/>
    </row>
    <row r="724" spans="11:26" x14ac:dyDescent="0.25">
      <c r="K724" s="2">
        <v>710</v>
      </c>
      <c r="L724" s="2">
        <f t="shared" si="35"/>
        <v>386.54943280621842</v>
      </c>
      <c r="M724" s="2">
        <f t="shared" si="33"/>
        <v>1</v>
      </c>
      <c r="N724" s="2" t="str">
        <f t="shared" si="34"/>
        <v/>
      </c>
      <c r="S724" s="2"/>
      <c r="T724" s="2"/>
      <c r="U724" s="2"/>
      <c r="V724" s="2"/>
      <c r="W724" s="2"/>
      <c r="X724" s="2"/>
      <c r="Y724" s="2"/>
      <c r="Z724" s="2"/>
    </row>
    <row r="725" spans="11:26" x14ac:dyDescent="0.25">
      <c r="K725" s="2">
        <v>711</v>
      </c>
      <c r="L725" s="2">
        <f t="shared" si="35"/>
        <v>387.07125751211299</v>
      </c>
      <c r="M725" s="2">
        <f t="shared" si="33"/>
        <v>1</v>
      </c>
      <c r="N725" s="2" t="str">
        <f t="shared" si="34"/>
        <v/>
      </c>
      <c r="S725" s="2"/>
      <c r="T725" s="2"/>
      <c r="U725" s="2"/>
      <c r="V725" s="2"/>
      <c r="W725" s="2"/>
      <c r="X725" s="2"/>
      <c r="Y725" s="2"/>
      <c r="Z725" s="2"/>
    </row>
    <row r="726" spans="11:26" x14ac:dyDescent="0.25">
      <c r="K726" s="2">
        <v>712</v>
      </c>
      <c r="L726" s="2">
        <f t="shared" si="35"/>
        <v>387.59306686496745</v>
      </c>
      <c r="M726" s="2">
        <f t="shared" si="33"/>
        <v>1</v>
      </c>
      <c r="N726" s="2" t="str">
        <f t="shared" si="34"/>
        <v/>
      </c>
      <c r="S726" s="2"/>
      <c r="T726" s="2"/>
      <c r="U726" s="2"/>
      <c r="V726" s="2"/>
      <c r="W726" s="2"/>
      <c r="X726" s="2"/>
      <c r="Y726" s="2"/>
      <c r="Z726" s="2"/>
    </row>
    <row r="727" spans="11:26" x14ac:dyDescent="0.25">
      <c r="K727" s="2">
        <v>713</v>
      </c>
      <c r="L727" s="2">
        <f t="shared" si="35"/>
        <v>388.1148608971377</v>
      </c>
      <c r="M727" s="2">
        <f t="shared" si="33"/>
        <v>1</v>
      </c>
      <c r="N727" s="2" t="str">
        <f t="shared" si="34"/>
        <v/>
      </c>
      <c r="S727" s="2"/>
      <c r="T727" s="2"/>
      <c r="U727" s="2"/>
      <c r="V727" s="2"/>
      <c r="W727" s="2"/>
      <c r="X727" s="2"/>
      <c r="Y727" s="2"/>
      <c r="Z727" s="2"/>
    </row>
    <row r="728" spans="11:26" x14ac:dyDescent="0.25">
      <c r="K728" s="2">
        <v>714</v>
      </c>
      <c r="L728" s="2">
        <f t="shared" si="35"/>
        <v>388.63663964086612</v>
      </c>
      <c r="M728" s="2">
        <f t="shared" si="33"/>
        <v>1</v>
      </c>
      <c r="N728" s="2" t="str">
        <f t="shared" si="34"/>
        <v/>
      </c>
      <c r="S728" s="2"/>
      <c r="T728" s="2"/>
      <c r="U728" s="2"/>
      <c r="V728" s="2"/>
      <c r="W728" s="2"/>
      <c r="X728" s="2"/>
      <c r="Y728" s="2"/>
      <c r="Z728" s="2"/>
    </row>
    <row r="729" spans="11:26" x14ac:dyDescent="0.25">
      <c r="K729" s="2">
        <v>715</v>
      </c>
      <c r="L729" s="2">
        <f t="shared" si="35"/>
        <v>389.15840312828215</v>
      </c>
      <c r="M729" s="2">
        <f t="shared" si="33"/>
        <v>1</v>
      </c>
      <c r="N729" s="2" t="str">
        <f t="shared" si="34"/>
        <v/>
      </c>
      <c r="S729" s="2"/>
      <c r="T729" s="2"/>
      <c r="U729" s="2"/>
      <c r="V729" s="2"/>
      <c r="W729" s="2"/>
      <c r="X729" s="2"/>
      <c r="Y729" s="2"/>
      <c r="Z729" s="2"/>
    </row>
    <row r="730" spans="11:26" x14ac:dyDescent="0.25">
      <c r="K730" s="2">
        <v>716</v>
      </c>
      <c r="L730" s="2">
        <f t="shared" si="35"/>
        <v>389.68015139140283</v>
      </c>
      <c r="M730" s="2">
        <f t="shared" si="33"/>
        <v>1</v>
      </c>
      <c r="N730" s="2" t="str">
        <f t="shared" si="34"/>
        <v/>
      </c>
      <c r="S730" s="2"/>
      <c r="T730" s="2"/>
      <c r="U730" s="2"/>
      <c r="V730" s="2"/>
      <c r="W730" s="2"/>
      <c r="X730" s="2"/>
      <c r="Y730" s="2"/>
      <c r="Z730" s="2"/>
    </row>
    <row r="731" spans="11:26" x14ac:dyDescent="0.25">
      <c r="K731" s="2">
        <v>717</v>
      </c>
      <c r="L731" s="2">
        <f t="shared" si="35"/>
        <v>390.20188446213353</v>
      </c>
      <c r="M731" s="2">
        <f t="shared" si="33"/>
        <v>1</v>
      </c>
      <c r="N731" s="2" t="str">
        <f t="shared" si="34"/>
        <v/>
      </c>
      <c r="S731" s="2"/>
      <c r="T731" s="2"/>
      <c r="U731" s="2"/>
      <c r="V731" s="2"/>
      <c r="W731" s="2"/>
      <c r="X731" s="2"/>
      <c r="Y731" s="2"/>
      <c r="Z731" s="2"/>
    </row>
    <row r="732" spans="11:26" x14ac:dyDescent="0.25">
      <c r="K732" s="2">
        <v>718</v>
      </c>
      <c r="L732" s="2">
        <f t="shared" si="35"/>
        <v>390.72360237226809</v>
      </c>
      <c r="M732" s="2">
        <f t="shared" si="33"/>
        <v>1</v>
      </c>
      <c r="N732" s="2" t="str">
        <f t="shared" si="34"/>
        <v/>
      </c>
      <c r="S732" s="2"/>
      <c r="T732" s="2"/>
      <c r="U732" s="2"/>
      <c r="V732" s="2"/>
      <c r="W732" s="2"/>
      <c r="X732" s="2"/>
      <c r="Y732" s="2"/>
      <c r="Z732" s="2"/>
    </row>
    <row r="733" spans="11:26" x14ac:dyDescent="0.25">
      <c r="K733" s="2">
        <v>719</v>
      </c>
      <c r="L733" s="2">
        <f t="shared" si="35"/>
        <v>391.24530515348977</v>
      </c>
      <c r="M733" s="2">
        <f t="shared" si="33"/>
        <v>1</v>
      </c>
      <c r="N733" s="2" t="str">
        <f t="shared" si="34"/>
        <v/>
      </c>
      <c r="S733" s="2"/>
      <c r="T733" s="2"/>
      <c r="U733" s="2"/>
      <c r="V733" s="2"/>
      <c r="W733" s="2"/>
      <c r="X733" s="2"/>
      <c r="Y733" s="2"/>
      <c r="Z733" s="2"/>
    </row>
    <row r="734" spans="11:26" x14ac:dyDescent="0.25">
      <c r="K734" s="2">
        <v>720</v>
      </c>
      <c r="L734" s="2">
        <f t="shared" si="35"/>
        <v>391.76699283737162</v>
      </c>
      <c r="M734" s="2">
        <f t="shared" ref="M734:M764" si="36">CHIDIST(L734,K734)</f>
        <v>1</v>
      </c>
      <c r="N734" s="2" t="str">
        <f t="shared" ref="N734:N764" si="37">IF(M734&lt;$C$11,K734,"")</f>
        <v/>
      </c>
      <c r="S734" s="2"/>
      <c r="T734" s="2"/>
      <c r="U734" s="2"/>
      <c r="V734" s="2"/>
      <c r="W734" s="2"/>
      <c r="X734" s="2"/>
      <c r="Y734" s="2"/>
      <c r="Z734" s="2"/>
    </row>
    <row r="735" spans="11:26" x14ac:dyDescent="0.25">
      <c r="K735" s="2">
        <v>721</v>
      </c>
      <c r="L735" s="2">
        <f t="shared" si="35"/>
        <v>392.28866545537693</v>
      </c>
      <c r="M735" s="2">
        <f t="shared" si="36"/>
        <v>1</v>
      </c>
      <c r="N735" s="2" t="str">
        <f t="shared" si="37"/>
        <v/>
      </c>
      <c r="S735" s="2"/>
      <c r="T735" s="2"/>
      <c r="U735" s="2"/>
      <c r="V735" s="2"/>
      <c r="W735" s="2"/>
      <c r="X735" s="2"/>
      <c r="Y735" s="2"/>
      <c r="Z735" s="2"/>
    </row>
    <row r="736" spans="11:26" x14ac:dyDescent="0.25">
      <c r="K736" s="2">
        <v>722</v>
      </c>
      <c r="L736" s="2">
        <f t="shared" si="35"/>
        <v>392.81032303885991</v>
      </c>
      <c r="M736" s="2">
        <f t="shared" si="36"/>
        <v>1</v>
      </c>
      <c r="N736" s="2" t="str">
        <f t="shared" si="37"/>
        <v/>
      </c>
      <c r="S736" s="2"/>
      <c r="T736" s="2"/>
      <c r="U736" s="2"/>
      <c r="V736" s="2"/>
      <c r="W736" s="2"/>
      <c r="X736" s="2"/>
      <c r="Y736" s="2"/>
      <c r="Z736" s="2"/>
    </row>
    <row r="737" spans="11:26" x14ac:dyDescent="0.25">
      <c r="K737" s="2">
        <v>723</v>
      </c>
      <c r="L737" s="2">
        <f t="shared" si="35"/>
        <v>393.3319656190663</v>
      </c>
      <c r="M737" s="2">
        <f t="shared" si="36"/>
        <v>1</v>
      </c>
      <c r="N737" s="2" t="str">
        <f t="shared" si="37"/>
        <v/>
      </c>
      <c r="S737" s="2"/>
      <c r="T737" s="2"/>
      <c r="U737" s="2"/>
      <c r="V737" s="2"/>
      <c r="W737" s="2"/>
      <c r="X737" s="2"/>
      <c r="Y737" s="2"/>
      <c r="Z737" s="2"/>
    </row>
    <row r="738" spans="11:26" x14ac:dyDescent="0.25">
      <c r="K738" s="2">
        <v>724</v>
      </c>
      <c r="L738" s="2">
        <f t="shared" si="35"/>
        <v>393.8535932271335</v>
      </c>
      <c r="M738" s="2">
        <f t="shared" si="36"/>
        <v>1</v>
      </c>
      <c r="N738" s="2" t="str">
        <f t="shared" si="37"/>
        <v/>
      </c>
      <c r="S738" s="2"/>
      <c r="T738" s="2"/>
      <c r="U738" s="2"/>
      <c r="V738" s="2"/>
      <c r="W738" s="2"/>
      <c r="X738" s="2"/>
      <c r="Y738" s="2"/>
      <c r="Z738" s="2"/>
    </row>
    <row r="739" spans="11:26" x14ac:dyDescent="0.25">
      <c r="K739" s="2">
        <v>725</v>
      </c>
      <c r="L739" s="2">
        <f t="shared" si="35"/>
        <v>394.37520589409155</v>
      </c>
      <c r="M739" s="2">
        <f t="shared" si="36"/>
        <v>1</v>
      </c>
      <c r="N739" s="2" t="str">
        <f t="shared" si="37"/>
        <v/>
      </c>
      <c r="S739" s="2"/>
      <c r="T739" s="2"/>
      <c r="U739" s="2"/>
      <c r="V739" s="2"/>
      <c r="W739" s="2"/>
      <c r="X739" s="2"/>
      <c r="Y739" s="2"/>
      <c r="Z739" s="2"/>
    </row>
    <row r="740" spans="11:26" x14ac:dyDescent="0.25">
      <c r="K740" s="2">
        <v>726</v>
      </c>
      <c r="L740" s="2">
        <f t="shared" si="35"/>
        <v>394.89680365086338</v>
      </c>
      <c r="M740" s="2">
        <f t="shared" si="36"/>
        <v>1</v>
      </c>
      <c r="N740" s="2" t="str">
        <f t="shared" si="37"/>
        <v/>
      </c>
      <c r="S740" s="2"/>
      <c r="T740" s="2"/>
      <c r="U740" s="2"/>
      <c r="V740" s="2"/>
      <c r="W740" s="2"/>
      <c r="X740" s="2"/>
      <c r="Y740" s="2"/>
      <c r="Z740" s="2"/>
    </row>
    <row r="741" spans="11:26" x14ac:dyDescent="0.25">
      <c r="K741" s="2">
        <v>727</v>
      </c>
      <c r="L741" s="2">
        <f t="shared" si="35"/>
        <v>395.41838652826544</v>
      </c>
      <c r="M741" s="2">
        <f t="shared" si="36"/>
        <v>1</v>
      </c>
      <c r="N741" s="2" t="str">
        <f t="shared" si="37"/>
        <v/>
      </c>
      <c r="S741" s="2"/>
      <c r="T741" s="2"/>
      <c r="U741" s="2"/>
      <c r="V741" s="2"/>
      <c r="W741" s="2"/>
      <c r="X741" s="2"/>
      <c r="Y741" s="2"/>
      <c r="Z741" s="2"/>
    </row>
    <row r="742" spans="11:26" x14ac:dyDescent="0.25">
      <c r="K742" s="2">
        <v>728</v>
      </c>
      <c r="L742" s="2">
        <f t="shared" si="35"/>
        <v>395.93995455700815</v>
      </c>
      <c r="M742" s="2">
        <f t="shared" si="36"/>
        <v>1</v>
      </c>
      <c r="N742" s="2" t="str">
        <f t="shared" si="37"/>
        <v/>
      </c>
      <c r="S742" s="2"/>
      <c r="T742" s="2"/>
      <c r="U742" s="2"/>
      <c r="V742" s="2"/>
      <c r="W742" s="2"/>
      <c r="X742" s="2"/>
      <c r="Y742" s="2"/>
      <c r="Z742" s="2"/>
    </row>
    <row r="743" spans="11:26" x14ac:dyDescent="0.25">
      <c r="K743" s="2">
        <v>729</v>
      </c>
      <c r="L743" s="2">
        <f t="shared" si="35"/>
        <v>396.46150776769639</v>
      </c>
      <c r="M743" s="2">
        <f t="shared" si="36"/>
        <v>1</v>
      </c>
      <c r="N743" s="2" t="str">
        <f t="shared" si="37"/>
        <v/>
      </c>
      <c r="S743" s="2"/>
      <c r="T743" s="2"/>
      <c r="U743" s="2"/>
      <c r="V743" s="2"/>
      <c r="W743" s="2"/>
      <c r="X743" s="2"/>
      <c r="Y743" s="2"/>
      <c r="Z743" s="2"/>
    </row>
    <row r="744" spans="11:26" x14ac:dyDescent="0.25">
      <c r="K744" s="2">
        <v>730</v>
      </c>
      <c r="L744" s="2">
        <f t="shared" si="35"/>
        <v>396.98304619083012</v>
      </c>
      <c r="M744" s="2">
        <f t="shared" si="36"/>
        <v>1</v>
      </c>
      <c r="N744" s="2" t="str">
        <f t="shared" si="37"/>
        <v/>
      </c>
      <c r="S744" s="2"/>
      <c r="T744" s="2"/>
      <c r="U744" s="2"/>
      <c r="V744" s="2"/>
      <c r="W744" s="2"/>
      <c r="X744" s="2"/>
      <c r="Y744" s="2"/>
      <c r="Z744" s="2"/>
    </row>
    <row r="745" spans="11:26" x14ac:dyDescent="0.25">
      <c r="K745" s="2">
        <v>731</v>
      </c>
      <c r="L745" s="2">
        <f t="shared" si="35"/>
        <v>397.50456985680478</v>
      </c>
      <c r="M745" s="2">
        <f t="shared" si="36"/>
        <v>1</v>
      </c>
      <c r="N745" s="2" t="str">
        <f t="shared" si="37"/>
        <v/>
      </c>
      <c r="S745" s="2"/>
      <c r="T745" s="2"/>
      <c r="U745" s="2"/>
      <c r="V745" s="2"/>
      <c r="W745" s="2"/>
      <c r="X745" s="2"/>
      <c r="Y745" s="2"/>
      <c r="Z745" s="2"/>
    </row>
    <row r="746" spans="11:26" x14ac:dyDescent="0.25">
      <c r="K746" s="2">
        <v>732</v>
      </c>
      <c r="L746" s="2">
        <f t="shared" si="35"/>
        <v>398.02607879591187</v>
      </c>
      <c r="M746" s="2">
        <f t="shared" si="36"/>
        <v>1</v>
      </c>
      <c r="N746" s="2" t="str">
        <f t="shared" si="37"/>
        <v/>
      </c>
      <c r="S746" s="2"/>
      <c r="T746" s="2"/>
      <c r="U746" s="2"/>
      <c r="V746" s="2"/>
      <c r="W746" s="2"/>
      <c r="X746" s="2"/>
      <c r="Y746" s="2"/>
      <c r="Z746" s="2"/>
    </row>
    <row r="747" spans="11:26" x14ac:dyDescent="0.25">
      <c r="K747" s="2">
        <v>733</v>
      </c>
      <c r="L747" s="2">
        <f t="shared" si="35"/>
        <v>398.54757303833929</v>
      </c>
      <c r="M747" s="2">
        <f t="shared" si="36"/>
        <v>1</v>
      </c>
      <c r="N747" s="2" t="str">
        <f t="shared" si="37"/>
        <v/>
      </c>
      <c r="S747" s="2"/>
      <c r="T747" s="2"/>
      <c r="U747" s="2"/>
      <c r="V747" s="2"/>
      <c r="W747" s="2"/>
      <c r="X747" s="2"/>
      <c r="Y747" s="2"/>
      <c r="Z747" s="2"/>
    </row>
    <row r="748" spans="11:26" x14ac:dyDescent="0.25">
      <c r="K748" s="2">
        <v>734</v>
      </c>
      <c r="L748" s="2">
        <f t="shared" si="35"/>
        <v>399.06905261417205</v>
      </c>
      <c r="M748" s="2">
        <f t="shared" si="36"/>
        <v>1</v>
      </c>
      <c r="N748" s="2" t="str">
        <f t="shared" si="37"/>
        <v/>
      </c>
      <c r="S748" s="2"/>
      <c r="T748" s="2"/>
      <c r="U748" s="2"/>
      <c r="V748" s="2"/>
      <c r="W748" s="2"/>
      <c r="X748" s="2"/>
      <c r="Y748" s="2"/>
      <c r="Z748" s="2"/>
    </row>
    <row r="749" spans="11:26" x14ac:dyDescent="0.25">
      <c r="K749" s="2">
        <v>735</v>
      </c>
      <c r="L749" s="2">
        <f t="shared" si="35"/>
        <v>399.59051755339266</v>
      </c>
      <c r="M749" s="2">
        <f t="shared" si="36"/>
        <v>1</v>
      </c>
      <c r="N749" s="2" t="str">
        <f t="shared" si="37"/>
        <v/>
      </c>
      <c r="S749" s="2"/>
      <c r="T749" s="2"/>
      <c r="U749" s="2"/>
      <c r="V749" s="2"/>
      <c r="W749" s="2"/>
      <c r="X749" s="2"/>
      <c r="Y749" s="2"/>
      <c r="Z749" s="2"/>
    </row>
    <row r="750" spans="11:26" x14ac:dyDescent="0.25">
      <c r="K750" s="2">
        <v>736</v>
      </c>
      <c r="L750" s="2">
        <f t="shared" si="35"/>
        <v>400.11196788588148</v>
      </c>
      <c r="M750" s="2">
        <f t="shared" si="36"/>
        <v>1</v>
      </c>
      <c r="N750" s="2" t="str">
        <f t="shared" si="37"/>
        <v/>
      </c>
      <c r="S750" s="2"/>
      <c r="T750" s="2"/>
      <c r="U750" s="2"/>
      <c r="V750" s="2"/>
      <c r="W750" s="2"/>
      <c r="X750" s="2"/>
      <c r="Y750" s="2"/>
      <c r="Z750" s="2"/>
    </row>
    <row r="751" spans="11:26" x14ac:dyDescent="0.25">
      <c r="K751" s="2">
        <v>737</v>
      </c>
      <c r="L751" s="2">
        <f t="shared" si="35"/>
        <v>400.63340364141754</v>
      </c>
      <c r="M751" s="2">
        <f t="shared" si="36"/>
        <v>1</v>
      </c>
      <c r="N751" s="2" t="str">
        <f t="shared" si="37"/>
        <v/>
      </c>
      <c r="S751" s="2"/>
      <c r="T751" s="2"/>
      <c r="U751" s="2"/>
      <c r="V751" s="2"/>
      <c r="W751" s="2"/>
      <c r="X751" s="2"/>
      <c r="Y751" s="2"/>
      <c r="Z751" s="2"/>
    </row>
    <row r="752" spans="11:26" x14ac:dyDescent="0.25">
      <c r="K752" s="2">
        <v>738</v>
      </c>
      <c r="L752" s="2">
        <f t="shared" si="35"/>
        <v>401.15482484967862</v>
      </c>
      <c r="M752" s="2">
        <f t="shared" si="36"/>
        <v>1</v>
      </c>
      <c r="N752" s="2" t="str">
        <f t="shared" si="37"/>
        <v/>
      </c>
      <c r="S752" s="2"/>
      <c r="T752" s="2"/>
      <c r="U752" s="2"/>
      <c r="V752" s="2"/>
      <c r="W752" s="2"/>
      <c r="X752" s="2"/>
      <c r="Y752" s="2"/>
      <c r="Z752" s="2"/>
    </row>
    <row r="753" spans="11:26" x14ac:dyDescent="0.25">
      <c r="K753" s="2">
        <v>739</v>
      </c>
      <c r="L753" s="2">
        <f t="shared" si="35"/>
        <v>401.67623154024216</v>
      </c>
      <c r="M753" s="2">
        <f t="shared" si="36"/>
        <v>1</v>
      </c>
      <c r="N753" s="2" t="str">
        <f t="shared" si="37"/>
        <v/>
      </c>
      <c r="S753" s="2"/>
      <c r="T753" s="2"/>
      <c r="U753" s="2"/>
      <c r="V753" s="2"/>
      <c r="W753" s="2"/>
      <c r="X753" s="2"/>
      <c r="Y753" s="2"/>
      <c r="Z753" s="2"/>
    </row>
    <row r="754" spans="11:26" x14ac:dyDescent="0.25">
      <c r="K754" s="2">
        <v>740</v>
      </c>
      <c r="L754" s="2">
        <f t="shared" si="35"/>
        <v>402.19762374258522</v>
      </c>
      <c r="M754" s="2">
        <f t="shared" si="36"/>
        <v>1</v>
      </c>
      <c r="N754" s="2" t="str">
        <f t="shared" si="37"/>
        <v/>
      </c>
      <c r="S754" s="2"/>
      <c r="T754" s="2"/>
      <c r="U754" s="2"/>
      <c r="V754" s="2"/>
      <c r="W754" s="2"/>
      <c r="X754" s="2"/>
      <c r="Y754" s="2"/>
      <c r="Z754" s="2"/>
    </row>
    <row r="755" spans="11:26" x14ac:dyDescent="0.25">
      <c r="K755" s="2">
        <v>741</v>
      </c>
      <c r="L755" s="2">
        <f t="shared" si="35"/>
        <v>402.71900148608552</v>
      </c>
      <c r="M755" s="2">
        <f t="shared" si="36"/>
        <v>1</v>
      </c>
      <c r="N755" s="2" t="str">
        <f t="shared" si="37"/>
        <v/>
      </c>
      <c r="S755" s="2"/>
      <c r="T755" s="2"/>
      <c r="U755" s="2"/>
      <c r="V755" s="2"/>
      <c r="W755" s="2"/>
      <c r="X755" s="2"/>
      <c r="Y755" s="2"/>
      <c r="Z755" s="2"/>
    </row>
    <row r="756" spans="11:26" x14ac:dyDescent="0.25">
      <c r="K756" s="2">
        <v>742</v>
      </c>
      <c r="L756" s="2">
        <f t="shared" si="35"/>
        <v>403.2403648000215</v>
      </c>
      <c r="M756" s="2">
        <f t="shared" si="36"/>
        <v>1</v>
      </c>
      <c r="N756" s="2" t="str">
        <f t="shared" si="37"/>
        <v/>
      </c>
      <c r="S756" s="2"/>
      <c r="T756" s="2"/>
      <c r="U756" s="2"/>
      <c r="V756" s="2"/>
      <c r="W756" s="2"/>
      <c r="X756" s="2"/>
      <c r="Y756" s="2"/>
      <c r="Z756" s="2"/>
    </row>
    <row r="757" spans="11:26" x14ac:dyDescent="0.25">
      <c r="K757" s="2">
        <v>743</v>
      </c>
      <c r="L757" s="2">
        <f t="shared" si="35"/>
        <v>403.76171371357287</v>
      </c>
      <c r="M757" s="2">
        <f t="shared" si="36"/>
        <v>1</v>
      </c>
      <c r="N757" s="2" t="str">
        <f t="shared" si="37"/>
        <v/>
      </c>
      <c r="S757" s="2"/>
      <c r="T757" s="2"/>
      <c r="U757" s="2"/>
      <c r="V757" s="2"/>
      <c r="W757" s="2"/>
      <c r="X757" s="2"/>
      <c r="Y757" s="2"/>
      <c r="Z757" s="2"/>
    </row>
    <row r="758" spans="11:26" x14ac:dyDescent="0.25">
      <c r="K758" s="2">
        <v>744</v>
      </c>
      <c r="L758" s="2">
        <f t="shared" si="35"/>
        <v>404.28304825582126</v>
      </c>
      <c r="M758" s="2">
        <f t="shared" si="36"/>
        <v>1</v>
      </c>
      <c r="N758" s="2" t="str">
        <f t="shared" si="37"/>
        <v/>
      </c>
      <c r="S758" s="2"/>
      <c r="T758" s="2"/>
      <c r="U758" s="2"/>
      <c r="V758" s="2"/>
      <c r="W758" s="2"/>
      <c r="X758" s="2"/>
      <c r="Y758" s="2"/>
      <c r="Z758" s="2"/>
    </row>
    <row r="759" spans="11:26" x14ac:dyDescent="0.25">
      <c r="K759" s="2">
        <v>745</v>
      </c>
      <c r="L759" s="2">
        <f t="shared" si="35"/>
        <v>404.80436845575048</v>
      </c>
      <c r="M759" s="2">
        <f t="shared" si="36"/>
        <v>1</v>
      </c>
      <c r="N759" s="2" t="str">
        <f t="shared" si="37"/>
        <v/>
      </c>
      <c r="S759" s="2"/>
      <c r="T759" s="2"/>
      <c r="U759" s="2"/>
      <c r="V759" s="2"/>
      <c r="W759" s="2"/>
      <c r="X759" s="2"/>
      <c r="Y759" s="2"/>
      <c r="Z759" s="2"/>
    </row>
    <row r="760" spans="11:26" x14ac:dyDescent="0.25">
      <c r="K760" s="2">
        <v>746</v>
      </c>
      <c r="L760" s="2">
        <f t="shared" si="35"/>
        <v>405.32567434224694</v>
      </c>
      <c r="M760" s="2">
        <f t="shared" si="36"/>
        <v>1</v>
      </c>
      <c r="N760" s="2" t="str">
        <f t="shared" si="37"/>
        <v/>
      </c>
      <c r="S760" s="2"/>
      <c r="T760" s="2"/>
      <c r="U760" s="2"/>
      <c r="V760" s="2"/>
      <c r="W760" s="2"/>
      <c r="X760" s="2"/>
      <c r="Y760" s="2"/>
      <c r="Z760" s="2"/>
    </row>
    <row r="761" spans="11:26" x14ac:dyDescent="0.25">
      <c r="K761" s="2">
        <v>747</v>
      </c>
      <c r="L761" s="2">
        <f t="shared" si="35"/>
        <v>405.84696594410048</v>
      </c>
      <c r="M761" s="2">
        <f t="shared" si="36"/>
        <v>1</v>
      </c>
      <c r="N761" s="2" t="str">
        <f t="shared" si="37"/>
        <v/>
      </c>
      <c r="S761" s="2"/>
      <c r="T761" s="2"/>
      <c r="U761" s="2"/>
      <c r="V761" s="2"/>
      <c r="W761" s="2"/>
      <c r="X761" s="2"/>
      <c r="Y761" s="2"/>
      <c r="Z761" s="2"/>
    </row>
    <row r="762" spans="11:26" x14ac:dyDescent="0.25">
      <c r="K762" s="2">
        <v>748</v>
      </c>
      <c r="L762" s="2">
        <f t="shared" si="35"/>
        <v>406.36824329000422</v>
      </c>
      <c r="M762" s="2">
        <f t="shared" si="36"/>
        <v>1</v>
      </c>
      <c r="N762" s="2" t="str">
        <f t="shared" si="37"/>
        <v/>
      </c>
      <c r="S762" s="2"/>
      <c r="T762" s="2"/>
      <c r="U762" s="2"/>
      <c r="V762" s="2"/>
      <c r="W762" s="2"/>
      <c r="X762" s="2"/>
      <c r="Y762" s="2"/>
      <c r="Z762" s="2"/>
    </row>
    <row r="763" spans="11:26" x14ac:dyDescent="0.25">
      <c r="K763" s="2">
        <v>749</v>
      </c>
      <c r="L763" s="2">
        <f t="shared" si="35"/>
        <v>406.88950640855569</v>
      </c>
      <c r="M763" s="2">
        <f t="shared" si="36"/>
        <v>1</v>
      </c>
      <c r="N763" s="2" t="str">
        <f t="shared" si="37"/>
        <v/>
      </c>
      <c r="S763" s="2"/>
      <c r="T763" s="2"/>
      <c r="U763" s="2"/>
      <c r="V763" s="2"/>
      <c r="W763" s="2"/>
      <c r="X763" s="2"/>
      <c r="Y763" s="2"/>
      <c r="Z763" s="2"/>
    </row>
    <row r="764" spans="11:26" x14ac:dyDescent="0.25">
      <c r="K764" s="2">
        <v>750</v>
      </c>
      <c r="L764" s="2">
        <f t="shared" si="35"/>
        <v>407.41075532825664</v>
      </c>
      <c r="M764" s="2">
        <f t="shared" si="36"/>
        <v>1</v>
      </c>
      <c r="N764" s="2" t="str">
        <f t="shared" si="37"/>
        <v/>
      </c>
      <c r="S764" s="2"/>
      <c r="T764" s="2"/>
      <c r="U764" s="2"/>
      <c r="V764" s="2"/>
      <c r="W764" s="2"/>
      <c r="X764" s="2"/>
      <c r="Y764" s="2"/>
      <c r="Z764" s="2"/>
    </row>
    <row r="765" spans="11:26" x14ac:dyDescent="0.25">
      <c r="K765" s="2">
        <v>751</v>
      </c>
      <c r="L765" s="2">
        <f t="shared" si="35"/>
        <v>407.93199007751406</v>
      </c>
      <c r="M765" s="2">
        <f t="shared" ref="M765:M772" si="38">CHIDIST(L765,K765)</f>
        <v>1</v>
      </c>
      <c r="N765" s="2" t="str">
        <f t="shared" ref="N765:N772" si="39">IF(M765&lt;$C$11,K765,"")</f>
        <v/>
      </c>
      <c r="S765" s="2"/>
      <c r="T765" s="2"/>
      <c r="U765" s="2"/>
      <c r="V765" s="2"/>
      <c r="W765" s="2"/>
      <c r="X765" s="2"/>
      <c r="Y765" s="2"/>
      <c r="Z765" s="2"/>
    </row>
    <row r="766" spans="11:26" x14ac:dyDescent="0.25">
      <c r="K766" s="2">
        <v>752</v>
      </c>
      <c r="L766" s="2">
        <f t="shared" si="35"/>
        <v>408.45321068464006</v>
      </c>
      <c r="M766" s="2">
        <f t="shared" si="38"/>
        <v>1</v>
      </c>
      <c r="N766" s="2" t="str">
        <f t="shared" si="39"/>
        <v/>
      </c>
      <c r="S766" s="2"/>
      <c r="T766" s="2"/>
      <c r="U766" s="2"/>
      <c r="V766" s="2"/>
      <c r="W766" s="2"/>
      <c r="X766" s="2"/>
      <c r="Y766" s="2"/>
      <c r="Z766" s="2"/>
    </row>
    <row r="767" spans="11:26" x14ac:dyDescent="0.25">
      <c r="K767" s="2">
        <v>753</v>
      </c>
      <c r="L767" s="2">
        <f t="shared" si="35"/>
        <v>408.97441717785273</v>
      </c>
      <c r="M767" s="2">
        <f t="shared" si="38"/>
        <v>1</v>
      </c>
      <c r="N767" s="2" t="str">
        <f t="shared" si="39"/>
        <v/>
      </c>
      <c r="S767" s="2"/>
      <c r="T767" s="2"/>
      <c r="U767" s="2"/>
      <c r="V767" s="2"/>
      <c r="W767" s="2"/>
      <c r="X767" s="2"/>
      <c r="Y767" s="2"/>
      <c r="Z767" s="2"/>
    </row>
    <row r="768" spans="11:26" x14ac:dyDescent="0.25">
      <c r="K768" s="2">
        <v>754</v>
      </c>
      <c r="L768" s="2">
        <f t="shared" si="35"/>
        <v>409.49560958527661</v>
      </c>
      <c r="M768" s="2">
        <f t="shared" si="38"/>
        <v>1</v>
      </c>
      <c r="N768" s="2" t="str">
        <f t="shared" si="39"/>
        <v/>
      </c>
      <c r="S768" s="2"/>
      <c r="T768" s="2"/>
      <c r="U768" s="2"/>
      <c r="V768" s="2"/>
      <c r="W768" s="2"/>
      <c r="X768" s="2"/>
      <c r="Y768" s="2"/>
      <c r="Z768" s="2"/>
    </row>
    <row r="769" spans="11:26" x14ac:dyDescent="0.25">
      <c r="K769" s="2">
        <v>755</v>
      </c>
      <c r="L769" s="2">
        <f t="shared" si="35"/>
        <v>410.01678793494261</v>
      </c>
      <c r="M769" s="2">
        <f t="shared" si="38"/>
        <v>1</v>
      </c>
      <c r="N769" s="2" t="str">
        <f t="shared" si="39"/>
        <v/>
      </c>
      <c r="S769" s="2"/>
      <c r="T769" s="2"/>
      <c r="U769" s="2"/>
      <c r="V769" s="2"/>
      <c r="W769" s="2"/>
      <c r="X769" s="2"/>
      <c r="Y769" s="2"/>
      <c r="Z769" s="2"/>
    </row>
    <row r="770" spans="11:26" x14ac:dyDescent="0.25">
      <c r="K770" s="2">
        <v>756</v>
      </c>
      <c r="L770" s="2">
        <f t="shared" si="35"/>
        <v>410.5379522547891</v>
      </c>
      <c r="M770" s="2">
        <f t="shared" si="38"/>
        <v>1</v>
      </c>
      <c r="N770" s="2" t="str">
        <f t="shared" si="39"/>
        <v/>
      </c>
      <c r="S770" s="2"/>
      <c r="T770" s="2"/>
      <c r="U770" s="2"/>
      <c r="V770" s="2"/>
      <c r="W770" s="2"/>
      <c r="X770" s="2"/>
      <c r="Y770" s="2"/>
      <c r="Z770" s="2"/>
    </row>
    <row r="771" spans="11:26" x14ac:dyDescent="0.25">
      <c r="K771" s="2">
        <v>757</v>
      </c>
      <c r="L771" s="2">
        <f t="shared" si="35"/>
        <v>411.05910257266191</v>
      </c>
      <c r="M771" s="2">
        <f t="shared" si="38"/>
        <v>1</v>
      </c>
      <c r="N771" s="2" t="str">
        <f t="shared" si="39"/>
        <v/>
      </c>
      <c r="S771" s="2"/>
      <c r="T771" s="2"/>
      <c r="U771" s="2"/>
      <c r="V771" s="2"/>
      <c r="W771" s="2"/>
      <c r="X771" s="2"/>
      <c r="Y771" s="2"/>
      <c r="Z771" s="2"/>
    </row>
    <row r="772" spans="11:26" x14ac:dyDescent="0.25">
      <c r="K772" s="2">
        <v>758</v>
      </c>
      <c r="L772" s="2">
        <f t="shared" si="35"/>
        <v>411.58023891631484</v>
      </c>
      <c r="M772" s="2">
        <f t="shared" si="38"/>
        <v>1</v>
      </c>
      <c r="N772" s="2" t="str">
        <f t="shared" si="39"/>
        <v/>
      </c>
      <c r="S772" s="2"/>
      <c r="T772" s="2"/>
      <c r="U772" s="2"/>
      <c r="V772" s="2"/>
      <c r="W772" s="2"/>
      <c r="X772" s="2"/>
      <c r="Y772" s="2"/>
      <c r="Z772" s="2"/>
    </row>
    <row r="773" spans="11:26" x14ac:dyDescent="0.25">
      <c r="K773" s="2">
        <v>759</v>
      </c>
      <c r="L773" s="2">
        <f t="shared" si="35"/>
        <v>412.10136131341022</v>
      </c>
      <c r="M773" s="2">
        <f t="shared" ref="M773:M793" si="40">CHIDIST(L773,K773)</f>
        <v>1</v>
      </c>
      <c r="N773" s="2" t="str">
        <f t="shared" ref="N773:N793" si="41">IF(M773&lt;$C$11,K773,"")</f>
        <v/>
      </c>
      <c r="S773" s="2"/>
      <c r="T773" s="2"/>
      <c r="U773" s="2"/>
      <c r="V773" s="2"/>
      <c r="W773" s="2"/>
      <c r="X773" s="2"/>
      <c r="Y773" s="2"/>
      <c r="Z773" s="2"/>
    </row>
    <row r="774" spans="11:26" x14ac:dyDescent="0.25">
      <c r="K774" s="2">
        <v>760</v>
      </c>
      <c r="L774" s="2">
        <f t="shared" si="35"/>
        <v>412.62246979151911</v>
      </c>
      <c r="M774" s="2">
        <f t="shared" si="40"/>
        <v>1</v>
      </c>
      <c r="N774" s="2" t="str">
        <f t="shared" si="41"/>
        <v/>
      </c>
      <c r="S774" s="2"/>
      <c r="T774" s="2"/>
      <c r="U774" s="2"/>
      <c r="V774" s="2"/>
      <c r="W774" s="2"/>
      <c r="X774" s="2"/>
      <c r="Y774" s="2"/>
      <c r="Z774" s="2"/>
    </row>
    <row r="775" spans="11:26" x14ac:dyDescent="0.25">
      <c r="K775" s="2">
        <v>761</v>
      </c>
      <c r="L775" s="2">
        <f t="shared" si="35"/>
        <v>413.14356437812194</v>
      </c>
      <c r="M775" s="2">
        <f t="shared" si="40"/>
        <v>1</v>
      </c>
      <c r="N775" s="2" t="str">
        <f t="shared" si="41"/>
        <v/>
      </c>
      <c r="S775" s="2"/>
      <c r="T775" s="2"/>
      <c r="U775" s="2"/>
      <c r="V775" s="2"/>
      <c r="W775" s="2"/>
      <c r="X775" s="2"/>
      <c r="Y775" s="2"/>
      <c r="Z775" s="2"/>
    </row>
    <row r="776" spans="11:26" x14ac:dyDescent="0.25">
      <c r="K776" s="2">
        <v>762</v>
      </c>
      <c r="L776" s="2">
        <f t="shared" si="35"/>
        <v>413.66464510060888</v>
      </c>
      <c r="M776" s="2">
        <f t="shared" si="40"/>
        <v>1</v>
      </c>
      <c r="N776" s="2" t="str">
        <f t="shared" si="41"/>
        <v/>
      </c>
      <c r="S776" s="2"/>
      <c r="T776" s="2"/>
      <c r="U776" s="2"/>
      <c r="V776" s="2"/>
      <c r="W776" s="2"/>
      <c r="X776" s="2"/>
      <c r="Y776" s="2"/>
      <c r="Z776" s="2"/>
    </row>
    <row r="777" spans="11:26" x14ac:dyDescent="0.25">
      <c r="K777" s="2">
        <v>763</v>
      </c>
      <c r="L777" s="2">
        <f t="shared" si="35"/>
        <v>414.18571198628007</v>
      </c>
      <c r="M777" s="2">
        <f t="shared" si="40"/>
        <v>1</v>
      </c>
      <c r="N777" s="2" t="str">
        <f t="shared" si="41"/>
        <v/>
      </c>
      <c r="S777" s="2"/>
      <c r="T777" s="2"/>
      <c r="U777" s="2"/>
      <c r="V777" s="2"/>
      <c r="W777" s="2"/>
      <c r="X777" s="2"/>
      <c r="Y777" s="2"/>
      <c r="Z777" s="2"/>
    </row>
    <row r="778" spans="11:26" x14ac:dyDescent="0.25">
      <c r="K778" s="2">
        <v>764</v>
      </c>
      <c r="L778" s="2">
        <f t="shared" si="35"/>
        <v>414.70676506234622</v>
      </c>
      <c r="M778" s="2">
        <f t="shared" si="40"/>
        <v>1</v>
      </c>
      <c r="N778" s="2" t="str">
        <f t="shared" si="41"/>
        <v/>
      </c>
      <c r="S778" s="2"/>
      <c r="T778" s="2"/>
      <c r="U778" s="2"/>
      <c r="V778" s="2"/>
      <c r="W778" s="2"/>
      <c r="X778" s="2"/>
      <c r="Y778" s="2"/>
      <c r="Z778" s="2"/>
    </row>
    <row r="779" spans="11:26" x14ac:dyDescent="0.25">
      <c r="K779" s="2">
        <v>765</v>
      </c>
      <c r="L779" s="2">
        <f t="shared" si="35"/>
        <v>415.22780435592909</v>
      </c>
      <c r="M779" s="2">
        <f t="shared" si="40"/>
        <v>1</v>
      </c>
      <c r="N779" s="2" t="str">
        <f t="shared" si="41"/>
        <v/>
      </c>
      <c r="S779" s="2"/>
      <c r="T779" s="2"/>
      <c r="U779" s="2"/>
      <c r="V779" s="2"/>
      <c r="W779" s="2"/>
      <c r="X779" s="2"/>
      <c r="Y779" s="2"/>
      <c r="Z779" s="2"/>
    </row>
    <row r="780" spans="11:26" x14ac:dyDescent="0.25">
      <c r="K780" s="2">
        <v>766</v>
      </c>
      <c r="L780" s="2">
        <f t="shared" si="35"/>
        <v>415.7488298940616</v>
      </c>
      <c r="M780" s="2">
        <f t="shared" si="40"/>
        <v>1</v>
      </c>
      <c r="N780" s="2" t="str">
        <f t="shared" si="41"/>
        <v/>
      </c>
      <c r="S780" s="2"/>
      <c r="T780" s="2"/>
      <c r="U780" s="2"/>
      <c r="V780" s="2"/>
      <c r="W780" s="2"/>
      <c r="X780" s="2"/>
      <c r="Y780" s="2"/>
      <c r="Z780" s="2"/>
    </row>
    <row r="781" spans="11:26" x14ac:dyDescent="0.25">
      <c r="K781" s="2">
        <v>767</v>
      </c>
      <c r="L781" s="2">
        <f t="shared" si="35"/>
        <v>416.2698417036886</v>
      </c>
      <c r="M781" s="2">
        <f t="shared" si="40"/>
        <v>1</v>
      </c>
      <c r="N781" s="2" t="str">
        <f t="shared" si="41"/>
        <v/>
      </c>
      <c r="S781" s="2"/>
      <c r="T781" s="2"/>
      <c r="U781" s="2"/>
      <c r="V781" s="2"/>
      <c r="W781" s="2"/>
      <c r="X781" s="2"/>
      <c r="Y781" s="2"/>
      <c r="Z781" s="2"/>
    </row>
    <row r="782" spans="11:26" x14ac:dyDescent="0.25">
      <c r="K782" s="2">
        <v>768</v>
      </c>
      <c r="L782" s="2">
        <f t="shared" si="35"/>
        <v>416.79083981166684</v>
      </c>
      <c r="M782" s="2">
        <f t="shared" si="40"/>
        <v>1</v>
      </c>
      <c r="N782" s="2" t="str">
        <f t="shared" si="41"/>
        <v/>
      </c>
      <c r="S782" s="2"/>
      <c r="T782" s="2"/>
      <c r="U782" s="2"/>
      <c r="V782" s="2"/>
      <c r="W782" s="2"/>
      <c r="X782" s="2"/>
      <c r="Y782" s="2"/>
      <c r="Z782" s="2"/>
    </row>
    <row r="783" spans="11:26" x14ac:dyDescent="0.25">
      <c r="K783" s="2">
        <v>769</v>
      </c>
      <c r="L783" s="2">
        <f t="shared" si="35"/>
        <v>417.31182424476583</v>
      </c>
      <c r="M783" s="2">
        <f t="shared" si="40"/>
        <v>1</v>
      </c>
      <c r="N783" s="2" t="str">
        <f t="shared" si="41"/>
        <v/>
      </c>
      <c r="S783" s="2"/>
      <c r="T783" s="2"/>
      <c r="U783" s="2"/>
      <c r="V783" s="2"/>
      <c r="W783" s="2"/>
      <c r="X783" s="2"/>
      <c r="Y783" s="2"/>
      <c r="Z783" s="2"/>
    </row>
    <row r="784" spans="11:26" x14ac:dyDescent="0.25">
      <c r="K784" s="2">
        <v>770</v>
      </c>
      <c r="L784" s="2">
        <f t="shared" ref="L784:L793" si="42">CHIINV($C$7,K784)/$J$15</f>
        <v>417.83279502966803</v>
      </c>
      <c r="M784" s="2">
        <f t="shared" si="40"/>
        <v>1</v>
      </c>
      <c r="N784" s="2" t="str">
        <f t="shared" si="41"/>
        <v/>
      </c>
      <c r="S784" s="2"/>
      <c r="T784" s="2"/>
      <c r="U784" s="2"/>
      <c r="V784" s="2"/>
      <c r="W784" s="2"/>
      <c r="X784" s="2"/>
      <c r="Y784" s="2"/>
      <c r="Z784" s="2"/>
    </row>
    <row r="785" spans="11:26" x14ac:dyDescent="0.25">
      <c r="K785" s="2">
        <v>771</v>
      </c>
      <c r="L785" s="2">
        <f t="shared" si="42"/>
        <v>418.35375219296907</v>
      </c>
      <c r="M785" s="2">
        <f t="shared" si="40"/>
        <v>1</v>
      </c>
      <c r="N785" s="2" t="str">
        <f t="shared" si="41"/>
        <v/>
      </c>
      <c r="S785" s="2"/>
      <c r="T785" s="2"/>
      <c r="U785" s="2"/>
      <c r="V785" s="2"/>
      <c r="W785" s="2"/>
      <c r="X785" s="2"/>
      <c r="Y785" s="2"/>
      <c r="Z785" s="2"/>
    </row>
    <row r="786" spans="11:26" x14ac:dyDescent="0.25">
      <c r="K786" s="2">
        <v>772</v>
      </c>
      <c r="L786" s="2">
        <f t="shared" si="42"/>
        <v>418.87469576117843</v>
      </c>
      <c r="M786" s="2">
        <f t="shared" si="40"/>
        <v>1</v>
      </c>
      <c r="N786" s="2" t="str">
        <f t="shared" si="41"/>
        <v/>
      </c>
      <c r="S786" s="2"/>
      <c r="T786" s="2"/>
      <c r="U786" s="2"/>
      <c r="V786" s="2"/>
      <c r="W786" s="2"/>
      <c r="X786" s="2"/>
      <c r="Y786" s="2"/>
      <c r="Z786" s="2"/>
    </row>
    <row r="787" spans="11:26" x14ac:dyDescent="0.25">
      <c r="K787" s="2">
        <v>773</v>
      </c>
      <c r="L787" s="2">
        <f t="shared" si="42"/>
        <v>419.39562576071972</v>
      </c>
      <c r="M787" s="2">
        <f t="shared" si="40"/>
        <v>1</v>
      </c>
      <c r="N787" s="2" t="str">
        <f t="shared" si="41"/>
        <v/>
      </c>
      <c r="S787" s="2"/>
      <c r="T787" s="2"/>
      <c r="U787" s="2"/>
      <c r="V787" s="2"/>
      <c r="W787" s="2"/>
      <c r="X787" s="2"/>
      <c r="Y787" s="2"/>
      <c r="Z787" s="2"/>
    </row>
    <row r="788" spans="11:26" x14ac:dyDescent="0.25">
      <c r="K788" s="2">
        <v>774</v>
      </c>
      <c r="L788" s="2">
        <f t="shared" si="42"/>
        <v>419.91654221793107</v>
      </c>
      <c r="M788" s="2">
        <f t="shared" si="40"/>
        <v>1</v>
      </c>
      <c r="N788" s="2" t="str">
        <f t="shared" si="41"/>
        <v/>
      </c>
      <c r="S788" s="2"/>
      <c r="T788" s="2"/>
      <c r="U788" s="2"/>
      <c r="V788" s="2"/>
      <c r="W788" s="2"/>
      <c r="X788" s="2"/>
      <c r="Y788" s="2"/>
      <c r="Z788" s="2"/>
    </row>
    <row r="789" spans="11:26" x14ac:dyDescent="0.25">
      <c r="K789" s="2">
        <v>775</v>
      </c>
      <c r="L789" s="2">
        <f t="shared" si="42"/>
        <v>420.43744515906542</v>
      </c>
      <c r="M789" s="2">
        <f t="shared" si="40"/>
        <v>1</v>
      </c>
      <c r="N789" s="2" t="str">
        <f t="shared" si="41"/>
        <v/>
      </c>
      <c r="S789" s="2"/>
      <c r="T789" s="2"/>
      <c r="U789" s="2"/>
      <c r="V789" s="2"/>
      <c r="W789" s="2"/>
      <c r="X789" s="2"/>
      <c r="Y789" s="2"/>
      <c r="Z789" s="2"/>
    </row>
    <row r="790" spans="11:26" x14ac:dyDescent="0.25">
      <c r="K790" s="2">
        <v>776</v>
      </c>
      <c r="L790" s="2">
        <f t="shared" si="42"/>
        <v>420.9583346102911</v>
      </c>
      <c r="M790" s="2">
        <f t="shared" si="40"/>
        <v>1</v>
      </c>
      <c r="N790" s="2" t="str">
        <f t="shared" si="41"/>
        <v/>
      </c>
      <c r="S790" s="2"/>
      <c r="T790" s="2"/>
      <c r="U790" s="2"/>
      <c r="V790" s="2"/>
      <c r="W790" s="2"/>
      <c r="X790" s="2"/>
      <c r="Y790" s="2"/>
      <c r="Z790" s="2"/>
    </row>
    <row r="791" spans="11:26" x14ac:dyDescent="0.25">
      <c r="K791" s="2">
        <v>777</v>
      </c>
      <c r="L791" s="2">
        <f t="shared" si="42"/>
        <v>421.47921059769214</v>
      </c>
      <c r="M791" s="2">
        <f t="shared" si="40"/>
        <v>1</v>
      </c>
      <c r="N791" s="2" t="str">
        <f t="shared" si="41"/>
        <v/>
      </c>
      <c r="S791" s="2"/>
      <c r="T791" s="2"/>
      <c r="U791" s="2"/>
      <c r="V791" s="2"/>
      <c r="W791" s="2"/>
      <c r="X791" s="2"/>
      <c r="Y791" s="2"/>
      <c r="Z791" s="2"/>
    </row>
    <row r="792" spans="11:26" x14ac:dyDescent="0.25">
      <c r="K792" s="2">
        <v>778</v>
      </c>
      <c r="L792" s="2">
        <f t="shared" si="42"/>
        <v>422.00007314726838</v>
      </c>
      <c r="M792" s="2">
        <f t="shared" si="40"/>
        <v>1</v>
      </c>
      <c r="N792" s="2" t="str">
        <f t="shared" si="41"/>
        <v/>
      </c>
      <c r="S792" s="2"/>
      <c r="T792" s="2"/>
      <c r="U792" s="2"/>
      <c r="V792" s="2"/>
      <c r="W792" s="2"/>
      <c r="X792" s="2"/>
      <c r="Y792" s="2"/>
      <c r="Z792" s="2"/>
    </row>
    <row r="793" spans="11:26" x14ac:dyDescent="0.25">
      <c r="K793" s="2">
        <v>779</v>
      </c>
      <c r="L793" s="2">
        <f t="shared" si="42"/>
        <v>422.52092228493643</v>
      </c>
      <c r="M793" s="2">
        <f t="shared" si="40"/>
        <v>1</v>
      </c>
      <c r="N793" s="2" t="str">
        <f t="shared" si="41"/>
        <v/>
      </c>
      <c r="S793" s="2"/>
      <c r="T793" s="2"/>
      <c r="U793" s="2"/>
      <c r="V793" s="2"/>
      <c r="W793" s="2"/>
      <c r="X793" s="2"/>
      <c r="Y793" s="2"/>
      <c r="Z793" s="2"/>
    </row>
    <row r="794" spans="11:26" x14ac:dyDescent="0.25">
      <c r="S794" s="2"/>
      <c r="T794" s="2"/>
      <c r="U794" s="2"/>
      <c r="V794" s="2"/>
      <c r="W794" s="2"/>
      <c r="X794" s="2"/>
      <c r="Y794" s="2"/>
      <c r="Z794" s="2"/>
    </row>
    <row r="795" spans="11:26" x14ac:dyDescent="0.25">
      <c r="S795" s="2"/>
      <c r="T795" s="2"/>
      <c r="U795" s="2"/>
      <c r="V795" s="2"/>
      <c r="W795" s="2"/>
      <c r="X795" s="2"/>
      <c r="Y795" s="2"/>
      <c r="Z795" s="2"/>
    </row>
    <row r="796" spans="11:26" x14ac:dyDescent="0.25">
      <c r="S796" s="2"/>
      <c r="T796" s="2"/>
      <c r="U796" s="2"/>
      <c r="V796" s="2"/>
      <c r="W796" s="2"/>
      <c r="X796" s="2"/>
      <c r="Y796" s="2"/>
      <c r="Z796" s="2"/>
    </row>
    <row r="797" spans="11:26" x14ac:dyDescent="0.25">
      <c r="S797" s="2"/>
      <c r="T797" s="2"/>
      <c r="U797" s="2"/>
      <c r="V797" s="2"/>
      <c r="W797" s="2"/>
      <c r="X797" s="2"/>
      <c r="Y797" s="2"/>
      <c r="Z797" s="2"/>
    </row>
    <row r="798" spans="11:26" x14ac:dyDescent="0.25">
      <c r="S798" s="2"/>
      <c r="T798" s="2"/>
      <c r="U798" s="2"/>
      <c r="V798" s="2"/>
      <c r="W798" s="2"/>
      <c r="X798" s="2"/>
      <c r="Y798" s="2"/>
      <c r="Z798" s="2"/>
    </row>
    <row r="799" spans="11:26" x14ac:dyDescent="0.25">
      <c r="S799" s="2"/>
      <c r="T799" s="2"/>
      <c r="U799" s="2"/>
      <c r="V799" s="2"/>
      <c r="W799" s="2"/>
      <c r="X799" s="2"/>
      <c r="Y799" s="2"/>
      <c r="Z799" s="2"/>
    </row>
    <row r="800" spans="11:26" x14ac:dyDescent="0.25">
      <c r="S800" s="2"/>
      <c r="T800" s="2"/>
      <c r="U800" s="2"/>
      <c r="V800" s="2"/>
      <c r="W800" s="2"/>
      <c r="X800" s="2"/>
      <c r="Y800" s="2"/>
      <c r="Z800" s="2"/>
    </row>
    <row r="801" spans="19:26" x14ac:dyDescent="0.25">
      <c r="S801" s="2"/>
      <c r="T801" s="2"/>
      <c r="U801" s="2"/>
      <c r="V801" s="2"/>
      <c r="W801" s="2"/>
      <c r="X801" s="2"/>
      <c r="Y801" s="2"/>
      <c r="Z801" s="2"/>
    </row>
    <row r="802" spans="19:26" x14ac:dyDescent="0.25">
      <c r="S802" s="2"/>
      <c r="T802" s="2"/>
      <c r="U802" s="2"/>
      <c r="V802" s="2"/>
      <c r="W802" s="2"/>
      <c r="X802" s="2"/>
      <c r="Y802" s="2"/>
      <c r="Z802" s="2"/>
    </row>
    <row r="803" spans="19:26" x14ac:dyDescent="0.25">
      <c r="S803" s="2"/>
      <c r="T803" s="2"/>
      <c r="U803" s="2"/>
      <c r="V803" s="2"/>
      <c r="W803" s="2"/>
      <c r="X803" s="2"/>
      <c r="Y803" s="2"/>
      <c r="Z803" s="2"/>
    </row>
    <row r="804" spans="19:26" x14ac:dyDescent="0.25">
      <c r="S804" s="2"/>
      <c r="T804" s="2"/>
      <c r="U804" s="2"/>
      <c r="V804" s="2"/>
      <c r="W804" s="2"/>
      <c r="X804" s="2"/>
      <c r="Y804" s="2"/>
      <c r="Z804" s="2"/>
    </row>
    <row r="805" spans="19:26" x14ac:dyDescent="0.25">
      <c r="S805" s="2"/>
      <c r="T805" s="2"/>
      <c r="U805" s="2"/>
      <c r="V805" s="2"/>
      <c r="W805" s="2"/>
      <c r="X805" s="2"/>
      <c r="Y805" s="2"/>
      <c r="Z805" s="2"/>
    </row>
    <row r="806" spans="19:26" x14ac:dyDescent="0.25">
      <c r="S806" s="2"/>
      <c r="T806" s="2"/>
      <c r="U806" s="2"/>
      <c r="V806" s="2"/>
      <c r="W806" s="2"/>
      <c r="X806" s="2"/>
      <c r="Y806" s="2"/>
      <c r="Z806" s="2"/>
    </row>
    <row r="807" spans="19:26" x14ac:dyDescent="0.25">
      <c r="S807" s="2"/>
      <c r="T807" s="2"/>
      <c r="U807" s="2"/>
      <c r="V807" s="2"/>
      <c r="W807" s="2"/>
      <c r="X807" s="2"/>
      <c r="Y807" s="2"/>
      <c r="Z807" s="2"/>
    </row>
    <row r="808" spans="19:26" x14ac:dyDescent="0.25">
      <c r="S808" s="2"/>
      <c r="T808" s="2"/>
      <c r="U808" s="2"/>
      <c r="V808" s="2"/>
      <c r="W808" s="2"/>
      <c r="X808" s="2"/>
      <c r="Y808" s="2"/>
      <c r="Z808" s="2"/>
    </row>
    <row r="809" spans="19:26" x14ac:dyDescent="0.25">
      <c r="S809" s="2"/>
      <c r="T809" s="2"/>
      <c r="U809" s="2"/>
      <c r="V809" s="2"/>
      <c r="W809" s="2"/>
      <c r="X809" s="2"/>
      <c r="Y809" s="2"/>
      <c r="Z809" s="2"/>
    </row>
    <row r="810" spans="19:26" x14ac:dyDescent="0.25">
      <c r="S810" s="2"/>
      <c r="T810" s="2"/>
      <c r="U810" s="2"/>
      <c r="V810" s="2"/>
      <c r="W810" s="2"/>
      <c r="X810" s="2"/>
      <c r="Y810" s="2"/>
      <c r="Z810" s="2"/>
    </row>
    <row r="811" spans="19:26" x14ac:dyDescent="0.25">
      <c r="S811" s="2"/>
      <c r="T811" s="2"/>
      <c r="U811" s="2"/>
      <c r="V811" s="2"/>
      <c r="W811" s="2"/>
      <c r="X811" s="2"/>
      <c r="Y811" s="2"/>
      <c r="Z811" s="2"/>
    </row>
    <row r="812" spans="19:26" x14ac:dyDescent="0.25">
      <c r="S812" s="2"/>
      <c r="T812" s="2"/>
      <c r="U812" s="2"/>
      <c r="V812" s="2"/>
      <c r="W812" s="2"/>
      <c r="X812" s="2"/>
      <c r="Y812" s="2"/>
      <c r="Z812" s="2"/>
    </row>
    <row r="813" spans="19:26" x14ac:dyDescent="0.25">
      <c r="S813" s="2"/>
      <c r="T813" s="2"/>
      <c r="U813" s="2"/>
      <c r="V813" s="2"/>
      <c r="W813" s="2"/>
      <c r="X813" s="2"/>
      <c r="Y813" s="2"/>
      <c r="Z813" s="2"/>
    </row>
    <row r="814" spans="19:26" x14ac:dyDescent="0.25">
      <c r="S814" s="2"/>
      <c r="T814" s="2"/>
      <c r="U814" s="2"/>
      <c r="V814" s="2"/>
      <c r="W814" s="2"/>
      <c r="X814" s="2"/>
      <c r="Y814" s="2"/>
      <c r="Z814" s="2"/>
    </row>
    <row r="815" spans="19:26" x14ac:dyDescent="0.25">
      <c r="S815" s="2"/>
      <c r="T815" s="2"/>
      <c r="U815" s="2"/>
      <c r="V815" s="2"/>
      <c r="W815" s="2"/>
      <c r="X815" s="2"/>
      <c r="Y815" s="2"/>
      <c r="Z815" s="2"/>
    </row>
    <row r="816" spans="19:26" x14ac:dyDescent="0.25">
      <c r="S816" s="2"/>
      <c r="T816" s="2"/>
      <c r="U816" s="2"/>
      <c r="V816" s="2"/>
      <c r="W816" s="2"/>
      <c r="X816" s="2"/>
      <c r="Y816" s="2"/>
      <c r="Z816" s="2"/>
    </row>
    <row r="817" spans="19:26" x14ac:dyDescent="0.25">
      <c r="S817" s="2"/>
      <c r="T817" s="2"/>
      <c r="U817" s="2"/>
      <c r="V817" s="2"/>
      <c r="W817" s="2"/>
      <c r="X817" s="2"/>
      <c r="Y817" s="2"/>
      <c r="Z817" s="2"/>
    </row>
    <row r="818" spans="19:26" x14ac:dyDescent="0.25">
      <c r="S818" s="2"/>
      <c r="T818" s="2"/>
      <c r="U818" s="2"/>
      <c r="V818" s="2"/>
      <c r="W818" s="2"/>
      <c r="X818" s="2"/>
      <c r="Y818" s="2"/>
      <c r="Z818" s="2"/>
    </row>
    <row r="819" spans="19:26" x14ac:dyDescent="0.25">
      <c r="S819" s="2"/>
      <c r="T819" s="2"/>
      <c r="U819" s="2"/>
      <c r="V819" s="2"/>
      <c r="W819" s="2"/>
      <c r="X819" s="2"/>
      <c r="Y819" s="2"/>
      <c r="Z819" s="2"/>
    </row>
    <row r="820" spans="19:26" x14ac:dyDescent="0.25">
      <c r="S820" s="2"/>
      <c r="T820" s="2"/>
      <c r="U820" s="2"/>
      <c r="V820" s="2"/>
      <c r="W820" s="2"/>
      <c r="X820" s="2"/>
      <c r="Y820" s="2"/>
      <c r="Z820" s="2"/>
    </row>
    <row r="821" spans="19:26" x14ac:dyDescent="0.25">
      <c r="S821" s="2"/>
      <c r="T821" s="2"/>
      <c r="U821" s="2"/>
      <c r="V821" s="2"/>
      <c r="W821" s="2"/>
      <c r="X821" s="2"/>
      <c r="Y821" s="2"/>
      <c r="Z821" s="2"/>
    </row>
    <row r="822" spans="19:26" x14ac:dyDescent="0.25">
      <c r="S822" s="2"/>
      <c r="T822" s="2"/>
      <c r="U822" s="2"/>
      <c r="V822" s="2"/>
      <c r="W822" s="2"/>
      <c r="X822" s="2"/>
      <c r="Y822" s="2"/>
      <c r="Z822" s="2"/>
    </row>
    <row r="823" spans="19:26" x14ac:dyDescent="0.25">
      <c r="S823" s="2"/>
      <c r="T823" s="2"/>
      <c r="U823" s="2"/>
      <c r="V823" s="2"/>
      <c r="W823" s="2"/>
      <c r="X823" s="2"/>
      <c r="Y823" s="2"/>
      <c r="Z823" s="2"/>
    </row>
    <row r="824" spans="19:26" x14ac:dyDescent="0.25">
      <c r="S824" s="2"/>
      <c r="T824" s="2"/>
      <c r="U824" s="2"/>
      <c r="V824" s="2"/>
      <c r="W824" s="2"/>
      <c r="X824" s="2"/>
      <c r="Y824" s="2"/>
      <c r="Z824" s="2"/>
    </row>
    <row r="825" spans="19:26" x14ac:dyDescent="0.25">
      <c r="S825" s="2"/>
      <c r="T825" s="2"/>
      <c r="U825" s="2"/>
      <c r="V825" s="2"/>
      <c r="W825" s="2"/>
      <c r="X825" s="2"/>
      <c r="Y825" s="2"/>
      <c r="Z825" s="2"/>
    </row>
    <row r="826" spans="19:26" x14ac:dyDescent="0.25">
      <c r="S826" s="2"/>
      <c r="T826" s="2"/>
      <c r="U826" s="2"/>
      <c r="V826" s="2"/>
      <c r="W826" s="2"/>
      <c r="X826" s="2"/>
      <c r="Y826" s="2"/>
      <c r="Z826" s="2"/>
    </row>
    <row r="827" spans="19:26" x14ac:dyDescent="0.25">
      <c r="S827" s="2"/>
      <c r="T827" s="2"/>
      <c r="U827" s="2"/>
      <c r="V827" s="2"/>
      <c r="W827" s="2"/>
      <c r="X827" s="2"/>
      <c r="Y827" s="2"/>
      <c r="Z827" s="2"/>
    </row>
    <row r="828" spans="19:26" x14ac:dyDescent="0.25">
      <c r="S828" s="2"/>
      <c r="T828" s="2"/>
      <c r="U828" s="2"/>
      <c r="V828" s="2"/>
      <c r="W828" s="2"/>
      <c r="X828" s="2"/>
      <c r="Y828" s="2"/>
      <c r="Z828" s="2"/>
    </row>
    <row r="829" spans="19:26" x14ac:dyDescent="0.25">
      <c r="S829" s="2"/>
      <c r="T829" s="2"/>
      <c r="U829" s="2"/>
      <c r="V829" s="2"/>
      <c r="W829" s="2"/>
      <c r="X829" s="2"/>
      <c r="Y829" s="2"/>
      <c r="Z829" s="2"/>
    </row>
    <row r="830" spans="19:26" x14ac:dyDescent="0.25">
      <c r="S830" s="2"/>
      <c r="T830" s="2"/>
      <c r="U830" s="2"/>
      <c r="V830" s="2"/>
      <c r="W830" s="2"/>
      <c r="X830" s="2"/>
      <c r="Y830" s="2"/>
      <c r="Z830" s="2"/>
    </row>
    <row r="831" spans="19:26" x14ac:dyDescent="0.25">
      <c r="S831" s="2"/>
      <c r="T831" s="2"/>
      <c r="U831" s="2"/>
      <c r="V831" s="2"/>
      <c r="W831" s="2"/>
      <c r="X831" s="2"/>
      <c r="Y831" s="2"/>
      <c r="Z831" s="2"/>
    </row>
    <row r="832" spans="19:26" x14ac:dyDescent="0.25">
      <c r="S832" s="2"/>
      <c r="T832" s="2"/>
      <c r="U832" s="2"/>
      <c r="V832" s="2"/>
      <c r="W832" s="2"/>
      <c r="X832" s="2"/>
      <c r="Y832" s="2"/>
      <c r="Z832" s="2"/>
    </row>
    <row r="833" spans="19:26" x14ac:dyDescent="0.25">
      <c r="S833" s="2"/>
      <c r="T833" s="2"/>
      <c r="U833" s="2"/>
      <c r="V833" s="2"/>
      <c r="W833" s="2"/>
      <c r="X833" s="2"/>
      <c r="Y833" s="2"/>
      <c r="Z833" s="2"/>
    </row>
    <row r="834" spans="19:26" x14ac:dyDescent="0.25">
      <c r="S834" s="2"/>
      <c r="T834" s="2"/>
      <c r="U834" s="2"/>
      <c r="V834" s="2"/>
      <c r="W834" s="2"/>
      <c r="X834" s="2"/>
      <c r="Y834" s="2"/>
      <c r="Z834" s="2"/>
    </row>
    <row r="835" spans="19:26" x14ac:dyDescent="0.25">
      <c r="S835" s="2"/>
      <c r="T835" s="2"/>
      <c r="U835" s="2"/>
      <c r="V835" s="2"/>
      <c r="W835" s="2"/>
      <c r="X835" s="2"/>
      <c r="Y835" s="2"/>
      <c r="Z835" s="2"/>
    </row>
    <row r="836" spans="19:26" x14ac:dyDescent="0.25">
      <c r="S836" s="2"/>
      <c r="T836" s="2"/>
      <c r="U836" s="2"/>
      <c r="V836" s="2"/>
      <c r="W836" s="2"/>
      <c r="X836" s="2"/>
      <c r="Y836" s="2"/>
      <c r="Z836" s="2"/>
    </row>
    <row r="837" spans="19:26" x14ac:dyDescent="0.25">
      <c r="S837" s="2"/>
      <c r="T837" s="2"/>
      <c r="U837" s="2"/>
      <c r="V837" s="2"/>
      <c r="W837" s="2"/>
      <c r="X837" s="2"/>
      <c r="Y837" s="2"/>
      <c r="Z837" s="2"/>
    </row>
    <row r="838" spans="19:26" x14ac:dyDescent="0.25">
      <c r="S838" s="2"/>
      <c r="T838" s="2"/>
      <c r="U838" s="2"/>
      <c r="V838" s="2"/>
      <c r="W838" s="2"/>
      <c r="X838" s="2"/>
      <c r="Y838" s="2"/>
      <c r="Z838" s="2"/>
    </row>
    <row r="839" spans="19:26" x14ac:dyDescent="0.25">
      <c r="S839" s="2"/>
      <c r="T839" s="2"/>
      <c r="U839" s="2"/>
      <c r="V839" s="2"/>
      <c r="W839" s="2"/>
      <c r="X839" s="2"/>
      <c r="Y839" s="2"/>
      <c r="Z839" s="2"/>
    </row>
    <row r="840" spans="19:26" x14ac:dyDescent="0.25">
      <c r="S840" s="2"/>
      <c r="T840" s="2"/>
      <c r="U840" s="2"/>
      <c r="V840" s="2"/>
      <c r="W840" s="2"/>
      <c r="X840" s="2"/>
      <c r="Y840" s="2"/>
      <c r="Z840" s="2"/>
    </row>
    <row r="841" spans="19:26" x14ac:dyDescent="0.25">
      <c r="S841" s="2"/>
      <c r="T841" s="2"/>
      <c r="U841" s="2"/>
      <c r="V841" s="2"/>
      <c r="W841" s="2"/>
      <c r="X841" s="2"/>
      <c r="Y841" s="2"/>
      <c r="Z841" s="2"/>
    </row>
    <row r="842" spans="19:26" x14ac:dyDescent="0.25">
      <c r="S842" s="2"/>
      <c r="T842" s="2"/>
      <c r="U842" s="2"/>
      <c r="V842" s="2"/>
      <c r="W842" s="2"/>
      <c r="X842" s="2"/>
      <c r="Y842" s="2"/>
      <c r="Z842" s="2"/>
    </row>
    <row r="843" spans="19:26" x14ac:dyDescent="0.25">
      <c r="S843" s="2"/>
      <c r="T843" s="2"/>
      <c r="U843" s="2"/>
      <c r="V843" s="2"/>
      <c r="W843" s="2"/>
      <c r="X843" s="2"/>
      <c r="Y843" s="2"/>
      <c r="Z843" s="2"/>
    </row>
    <row r="844" spans="19:26" x14ac:dyDescent="0.25">
      <c r="S844" s="2"/>
      <c r="T844" s="2"/>
      <c r="U844" s="2"/>
      <c r="V844" s="2"/>
      <c r="W844" s="2"/>
      <c r="X844" s="2"/>
      <c r="Y844" s="2"/>
      <c r="Z844" s="2"/>
    </row>
    <row r="845" spans="19:26" x14ac:dyDescent="0.25">
      <c r="S845" s="2"/>
      <c r="T845" s="2"/>
      <c r="U845" s="2"/>
      <c r="V845" s="2"/>
      <c r="W845" s="2"/>
      <c r="X845" s="2"/>
      <c r="Y845" s="2"/>
      <c r="Z845" s="2"/>
    </row>
    <row r="846" spans="19:26" x14ac:dyDescent="0.25">
      <c r="S846" s="2"/>
      <c r="T846" s="2"/>
      <c r="U846" s="2"/>
      <c r="V846" s="2"/>
      <c r="W846" s="2"/>
      <c r="X846" s="2"/>
      <c r="Y846" s="2"/>
      <c r="Z846" s="2"/>
    </row>
    <row r="847" spans="19:26" x14ac:dyDescent="0.25">
      <c r="S847" s="2"/>
      <c r="T847" s="2"/>
      <c r="U847" s="2"/>
      <c r="V847" s="2"/>
      <c r="W847" s="2"/>
      <c r="X847" s="2"/>
      <c r="Y847" s="2"/>
      <c r="Z847" s="2"/>
    </row>
    <row r="848" spans="19:26" x14ac:dyDescent="0.25">
      <c r="S848" s="2"/>
      <c r="T848" s="2"/>
      <c r="U848" s="2"/>
      <c r="V848" s="2"/>
      <c r="W848" s="2"/>
      <c r="X848" s="2"/>
      <c r="Y848" s="2"/>
      <c r="Z848" s="2"/>
    </row>
    <row r="849" spans="19:26" x14ac:dyDescent="0.25">
      <c r="S849" s="2"/>
      <c r="T849" s="2"/>
      <c r="U849" s="2"/>
      <c r="V849" s="2"/>
      <c r="W849" s="2"/>
      <c r="X849" s="2"/>
      <c r="Y849" s="2"/>
      <c r="Z849" s="2"/>
    </row>
    <row r="850" spans="19:26" x14ac:dyDescent="0.25">
      <c r="S850" s="2"/>
      <c r="T850" s="2"/>
      <c r="U850" s="2"/>
      <c r="V850" s="2"/>
      <c r="W850" s="2"/>
      <c r="X850" s="2"/>
      <c r="Y850" s="2"/>
      <c r="Z850" s="2"/>
    </row>
    <row r="851" spans="19:26" x14ac:dyDescent="0.25">
      <c r="S851" s="2"/>
      <c r="T851" s="2"/>
      <c r="U851" s="2"/>
      <c r="V851" s="2"/>
      <c r="W851" s="2"/>
      <c r="X851" s="2"/>
      <c r="Y851" s="2"/>
      <c r="Z851" s="2"/>
    </row>
    <row r="852" spans="19:26" x14ac:dyDescent="0.25">
      <c r="S852" s="2"/>
      <c r="T852" s="2"/>
      <c r="U852" s="2"/>
      <c r="V852" s="2"/>
      <c r="W852" s="2"/>
      <c r="X852" s="2"/>
      <c r="Y852" s="2"/>
      <c r="Z852" s="2"/>
    </row>
    <row r="853" spans="19:26" x14ac:dyDescent="0.25">
      <c r="S853" s="2"/>
      <c r="T853" s="2"/>
      <c r="U853" s="2"/>
      <c r="V853" s="2"/>
      <c r="W853" s="2"/>
      <c r="X853" s="2"/>
      <c r="Y853" s="2"/>
      <c r="Z853" s="2"/>
    </row>
    <row r="854" spans="19:26" x14ac:dyDescent="0.25">
      <c r="S854" s="2"/>
      <c r="T854" s="2"/>
      <c r="U854" s="2"/>
      <c r="V854" s="2"/>
      <c r="W854" s="2"/>
      <c r="X854" s="2"/>
      <c r="Y854" s="2"/>
      <c r="Z854" s="2"/>
    </row>
    <row r="855" spans="19:26" x14ac:dyDescent="0.25">
      <c r="S855" s="2"/>
      <c r="T855" s="2"/>
      <c r="U855" s="2"/>
      <c r="V855" s="2"/>
      <c r="W855" s="2"/>
      <c r="X855" s="2"/>
      <c r="Y855" s="2"/>
      <c r="Z855" s="2"/>
    </row>
    <row r="856" spans="19:26" x14ac:dyDescent="0.25">
      <c r="S856" s="2"/>
      <c r="T856" s="2"/>
      <c r="U856" s="2"/>
      <c r="V856" s="2"/>
      <c r="W856" s="2"/>
      <c r="X856" s="2"/>
      <c r="Y856" s="2"/>
      <c r="Z856" s="2"/>
    </row>
    <row r="857" spans="19:26" x14ac:dyDescent="0.25">
      <c r="S857" s="2"/>
      <c r="T857" s="2"/>
      <c r="U857" s="2"/>
      <c r="V857" s="2"/>
      <c r="W857" s="2"/>
      <c r="X857" s="2"/>
      <c r="Y857" s="2"/>
      <c r="Z857" s="2"/>
    </row>
    <row r="858" spans="19:26" x14ac:dyDescent="0.25">
      <c r="S858" s="2"/>
      <c r="T858" s="2"/>
      <c r="U858" s="2"/>
      <c r="V858" s="2"/>
      <c r="W858" s="2"/>
      <c r="X858" s="2"/>
      <c r="Y858" s="2"/>
      <c r="Z858" s="2"/>
    </row>
    <row r="859" spans="19:26" x14ac:dyDescent="0.25">
      <c r="S859" s="2"/>
      <c r="T859" s="2"/>
      <c r="U859" s="2"/>
      <c r="V859" s="2"/>
      <c r="W859" s="2"/>
      <c r="X859" s="2"/>
      <c r="Y859" s="2"/>
      <c r="Z859" s="2"/>
    </row>
    <row r="860" spans="19:26" x14ac:dyDescent="0.25">
      <c r="S860" s="2"/>
      <c r="T860" s="2"/>
      <c r="U860" s="2"/>
      <c r="V860" s="2"/>
      <c r="W860" s="2"/>
      <c r="X860" s="2"/>
      <c r="Y860" s="2"/>
      <c r="Z860" s="2"/>
    </row>
    <row r="861" spans="19:26" x14ac:dyDescent="0.25">
      <c r="S861" s="2"/>
      <c r="T861" s="2"/>
      <c r="U861" s="2"/>
      <c r="V861" s="2"/>
      <c r="W861" s="2"/>
      <c r="X861" s="2"/>
      <c r="Y861" s="2"/>
      <c r="Z861" s="2"/>
    </row>
    <row r="862" spans="19:26" x14ac:dyDescent="0.25">
      <c r="S862" s="2"/>
      <c r="T862" s="2"/>
      <c r="U862" s="2"/>
      <c r="V862" s="2"/>
      <c r="W862" s="2"/>
      <c r="X862" s="2"/>
      <c r="Y862" s="2"/>
      <c r="Z862" s="2"/>
    </row>
    <row r="863" spans="19:26" x14ac:dyDescent="0.25">
      <c r="S863" s="2"/>
      <c r="T863" s="2"/>
      <c r="U863" s="2"/>
      <c r="V863" s="2"/>
      <c r="W863" s="2"/>
      <c r="X863" s="2"/>
      <c r="Y863" s="2"/>
      <c r="Z863" s="2"/>
    </row>
    <row r="864" spans="19:26" x14ac:dyDescent="0.25">
      <c r="S864" s="2"/>
      <c r="T864" s="2"/>
      <c r="U864" s="2"/>
      <c r="V864" s="2"/>
      <c r="W864" s="2"/>
      <c r="X864" s="2"/>
      <c r="Y864" s="2"/>
      <c r="Z864" s="2"/>
    </row>
    <row r="865" spans="19:26" x14ac:dyDescent="0.25">
      <c r="S865" s="2"/>
      <c r="T865" s="2"/>
      <c r="U865" s="2"/>
      <c r="V865" s="2"/>
      <c r="W865" s="2"/>
      <c r="X865" s="2"/>
      <c r="Y865" s="2"/>
      <c r="Z865" s="2"/>
    </row>
    <row r="866" spans="19:26" x14ac:dyDescent="0.25">
      <c r="S866" s="2"/>
      <c r="T866" s="2"/>
      <c r="U866" s="2"/>
      <c r="V866" s="2"/>
      <c r="W866" s="2"/>
      <c r="X866" s="2"/>
      <c r="Y866" s="2"/>
      <c r="Z866" s="2"/>
    </row>
    <row r="867" spans="19:26" x14ac:dyDescent="0.25">
      <c r="S867" s="2"/>
      <c r="T867" s="2"/>
      <c r="U867" s="2"/>
      <c r="V867" s="2"/>
      <c r="W867" s="2"/>
      <c r="X867" s="2"/>
      <c r="Y867" s="2"/>
      <c r="Z867" s="2"/>
    </row>
    <row r="868" spans="19:26" x14ac:dyDescent="0.25">
      <c r="S868" s="2"/>
      <c r="T868" s="2"/>
      <c r="U868" s="2"/>
      <c r="V868" s="2"/>
      <c r="W868" s="2"/>
      <c r="X868" s="2"/>
      <c r="Y868" s="2"/>
      <c r="Z868" s="2"/>
    </row>
    <row r="869" spans="19:26" x14ac:dyDescent="0.25">
      <c r="S869" s="2"/>
      <c r="T869" s="2"/>
      <c r="U869" s="2"/>
      <c r="V869" s="2"/>
      <c r="W869" s="2"/>
      <c r="X869" s="2"/>
      <c r="Y869" s="2"/>
      <c r="Z869" s="2"/>
    </row>
    <row r="870" spans="19:26" x14ac:dyDescent="0.25">
      <c r="S870" s="2"/>
      <c r="T870" s="2"/>
      <c r="U870" s="2"/>
      <c r="V870" s="2"/>
      <c r="W870" s="2"/>
      <c r="X870" s="2"/>
      <c r="Y870" s="2"/>
      <c r="Z870" s="2"/>
    </row>
    <row r="871" spans="19:26" x14ac:dyDescent="0.25">
      <c r="S871" s="2"/>
      <c r="T871" s="2"/>
      <c r="U871" s="2"/>
      <c r="V871" s="2"/>
      <c r="W871" s="2"/>
      <c r="X871" s="2"/>
      <c r="Y871" s="2"/>
      <c r="Z871" s="2"/>
    </row>
    <row r="872" spans="19:26" x14ac:dyDescent="0.25">
      <c r="S872" s="2"/>
      <c r="T872" s="2"/>
      <c r="U872" s="2"/>
      <c r="V872" s="2"/>
      <c r="W872" s="2"/>
      <c r="X872" s="2"/>
      <c r="Y872" s="2"/>
      <c r="Z872" s="2"/>
    </row>
    <row r="873" spans="19:26" x14ac:dyDescent="0.25">
      <c r="S873" s="2"/>
      <c r="T873" s="2"/>
      <c r="U873" s="2"/>
      <c r="V873" s="2"/>
      <c r="W873" s="2"/>
      <c r="X873" s="2"/>
      <c r="Y873" s="2"/>
      <c r="Z873" s="2"/>
    </row>
    <row r="874" spans="19:26" x14ac:dyDescent="0.25">
      <c r="S874" s="2"/>
      <c r="T874" s="2"/>
      <c r="U874" s="2"/>
      <c r="V874" s="2"/>
      <c r="W874" s="2"/>
      <c r="X874" s="2"/>
      <c r="Y874" s="2"/>
      <c r="Z874" s="2"/>
    </row>
    <row r="875" spans="19:26" x14ac:dyDescent="0.25">
      <c r="S875" s="2"/>
      <c r="T875" s="2"/>
      <c r="U875" s="2"/>
      <c r="V875" s="2"/>
      <c r="W875" s="2"/>
      <c r="X875" s="2"/>
      <c r="Y875" s="2"/>
      <c r="Z875" s="2"/>
    </row>
    <row r="876" spans="19:26" x14ac:dyDescent="0.25">
      <c r="S876" s="2"/>
      <c r="T876" s="2"/>
      <c r="U876" s="2"/>
      <c r="V876" s="2"/>
      <c r="W876" s="2"/>
      <c r="X876" s="2"/>
      <c r="Y876" s="2"/>
      <c r="Z876" s="2"/>
    </row>
    <row r="877" spans="19:26" x14ac:dyDescent="0.25">
      <c r="S877" s="2"/>
      <c r="T877" s="2"/>
      <c r="U877" s="2"/>
      <c r="V877" s="2"/>
      <c r="W877" s="2"/>
      <c r="X877" s="2"/>
      <c r="Y877" s="2"/>
      <c r="Z877" s="2"/>
    </row>
    <row r="878" spans="19:26" x14ac:dyDescent="0.25">
      <c r="S878" s="2"/>
      <c r="T878" s="2"/>
      <c r="U878" s="2"/>
      <c r="V878" s="2"/>
      <c r="W878" s="2"/>
      <c r="X878" s="2"/>
      <c r="Y878" s="2"/>
      <c r="Z878" s="2"/>
    </row>
    <row r="879" spans="19:26" x14ac:dyDescent="0.25">
      <c r="S879" s="2"/>
      <c r="T879" s="2"/>
      <c r="U879" s="2"/>
      <c r="V879" s="2"/>
      <c r="W879" s="2"/>
      <c r="X879" s="2"/>
      <c r="Y879" s="2"/>
      <c r="Z879" s="2"/>
    </row>
    <row r="880" spans="19:26" x14ac:dyDescent="0.25">
      <c r="S880" s="2"/>
      <c r="T880" s="2"/>
      <c r="U880" s="2"/>
      <c r="V880" s="2"/>
      <c r="W880" s="2"/>
      <c r="X880" s="2"/>
      <c r="Y880" s="2"/>
      <c r="Z880" s="2"/>
    </row>
    <row r="881" spans="19:26" x14ac:dyDescent="0.25">
      <c r="S881" s="2"/>
      <c r="T881" s="2"/>
      <c r="U881" s="2"/>
      <c r="V881" s="2"/>
      <c r="W881" s="2"/>
      <c r="X881" s="2"/>
      <c r="Y881" s="2"/>
      <c r="Z881" s="2"/>
    </row>
    <row r="882" spans="19:26" x14ac:dyDescent="0.25">
      <c r="S882" s="2"/>
      <c r="T882" s="2"/>
      <c r="U882" s="2"/>
      <c r="V882" s="2"/>
      <c r="W882" s="2"/>
      <c r="X882" s="2"/>
      <c r="Y882" s="2"/>
      <c r="Z882" s="2"/>
    </row>
    <row r="883" spans="19:26" x14ac:dyDescent="0.25">
      <c r="S883" s="2"/>
      <c r="T883" s="2"/>
      <c r="U883" s="2"/>
      <c r="V883" s="2"/>
      <c r="W883" s="2"/>
      <c r="X883" s="2"/>
      <c r="Y883" s="2"/>
      <c r="Z883" s="2"/>
    </row>
    <row r="884" spans="19:26" x14ac:dyDescent="0.25">
      <c r="S884" s="2"/>
      <c r="T884" s="2"/>
      <c r="U884" s="2"/>
      <c r="V884" s="2"/>
      <c r="W884" s="2"/>
      <c r="X884" s="2"/>
      <c r="Y884" s="2"/>
      <c r="Z884" s="2"/>
    </row>
    <row r="885" spans="19:26" x14ac:dyDescent="0.25">
      <c r="S885" s="2"/>
      <c r="T885" s="2"/>
      <c r="U885" s="2"/>
      <c r="V885" s="2"/>
      <c r="W885" s="2"/>
      <c r="X885" s="2"/>
      <c r="Y885" s="2"/>
      <c r="Z885" s="2"/>
    </row>
    <row r="886" spans="19:26" x14ac:dyDescent="0.25">
      <c r="S886" s="2"/>
      <c r="T886" s="2"/>
      <c r="U886" s="2"/>
      <c r="V886" s="2"/>
      <c r="W886" s="2"/>
      <c r="X886" s="2"/>
      <c r="Y886" s="2"/>
      <c r="Z886" s="2"/>
    </row>
    <row r="887" spans="19:26" x14ac:dyDescent="0.25">
      <c r="S887" s="2"/>
      <c r="T887" s="2"/>
      <c r="U887" s="2"/>
      <c r="V887" s="2"/>
      <c r="W887" s="2"/>
      <c r="X887" s="2"/>
      <c r="Y887" s="2"/>
      <c r="Z887" s="2"/>
    </row>
    <row r="888" spans="19:26" x14ac:dyDescent="0.25">
      <c r="S888" s="2"/>
      <c r="T888" s="2"/>
      <c r="U888" s="2"/>
      <c r="V888" s="2"/>
      <c r="W888" s="2"/>
      <c r="X888" s="2"/>
      <c r="Y888" s="2"/>
      <c r="Z888" s="2"/>
    </row>
    <row r="889" spans="19:26" x14ac:dyDescent="0.25">
      <c r="S889" s="2"/>
      <c r="T889" s="2"/>
      <c r="U889" s="2"/>
      <c r="V889" s="2"/>
      <c r="W889" s="2"/>
      <c r="X889" s="2"/>
      <c r="Y889" s="2"/>
      <c r="Z889" s="2"/>
    </row>
    <row r="890" spans="19:26" x14ac:dyDescent="0.25">
      <c r="S890" s="2"/>
      <c r="T890" s="2"/>
      <c r="U890" s="2"/>
      <c r="V890" s="2"/>
      <c r="W890" s="2"/>
      <c r="X890" s="2"/>
      <c r="Y890" s="2"/>
      <c r="Z890" s="2"/>
    </row>
    <row r="891" spans="19:26" x14ac:dyDescent="0.25">
      <c r="S891" s="2"/>
      <c r="T891" s="2"/>
      <c r="U891" s="2"/>
      <c r="V891" s="2"/>
      <c r="W891" s="2"/>
      <c r="X891" s="2"/>
      <c r="Y891" s="2"/>
      <c r="Z891" s="2"/>
    </row>
    <row r="892" spans="19:26" x14ac:dyDescent="0.25">
      <c r="S892" s="2"/>
      <c r="T892" s="2"/>
      <c r="U892" s="2"/>
      <c r="V892" s="2"/>
      <c r="W892" s="2"/>
      <c r="X892" s="2"/>
      <c r="Y892" s="2"/>
      <c r="Z892" s="2"/>
    </row>
    <row r="893" spans="19:26" x14ac:dyDescent="0.25">
      <c r="S893" s="2"/>
      <c r="T893" s="2"/>
      <c r="U893" s="2"/>
      <c r="V893" s="2"/>
      <c r="W893" s="2"/>
      <c r="X893" s="2"/>
      <c r="Y893" s="2"/>
      <c r="Z893" s="2"/>
    </row>
    <row r="894" spans="19:26" x14ac:dyDescent="0.25">
      <c r="S894" s="2"/>
      <c r="T894" s="2"/>
      <c r="U894" s="2"/>
      <c r="V894" s="2"/>
      <c r="W894" s="2"/>
      <c r="X894" s="2"/>
      <c r="Y894" s="2"/>
      <c r="Z894" s="2"/>
    </row>
    <row r="895" spans="19:26" x14ac:dyDescent="0.25">
      <c r="S895" s="2"/>
      <c r="T895" s="2"/>
      <c r="U895" s="2"/>
      <c r="V895" s="2"/>
      <c r="W895" s="2"/>
      <c r="X895" s="2"/>
      <c r="Y895" s="2"/>
      <c r="Z895" s="2"/>
    </row>
    <row r="896" spans="19:26" x14ac:dyDescent="0.25">
      <c r="S896" s="2"/>
      <c r="T896" s="2"/>
      <c r="U896" s="2"/>
      <c r="V896" s="2"/>
      <c r="W896" s="2"/>
      <c r="X896" s="2"/>
      <c r="Y896" s="2"/>
      <c r="Z896" s="2"/>
    </row>
    <row r="897" spans="19:26" x14ac:dyDescent="0.25">
      <c r="S897" s="2"/>
      <c r="T897" s="2"/>
      <c r="U897" s="2"/>
      <c r="V897" s="2"/>
      <c r="W897" s="2"/>
      <c r="X897" s="2"/>
      <c r="Y897" s="2"/>
      <c r="Z897" s="2"/>
    </row>
    <row r="898" spans="19:26" x14ac:dyDescent="0.25">
      <c r="S898" s="2"/>
      <c r="T898" s="2"/>
      <c r="U898" s="2"/>
      <c r="V898" s="2"/>
      <c r="W898" s="2"/>
      <c r="X898" s="2"/>
      <c r="Y898" s="2"/>
      <c r="Z898" s="2"/>
    </row>
    <row r="899" spans="19:26" x14ac:dyDescent="0.25">
      <c r="S899" s="2"/>
      <c r="T899" s="2"/>
      <c r="U899" s="2"/>
      <c r="V899" s="2"/>
      <c r="W899" s="2"/>
      <c r="X899" s="2"/>
      <c r="Y899" s="2"/>
      <c r="Z899" s="2"/>
    </row>
    <row r="900" spans="19:26" x14ac:dyDescent="0.25">
      <c r="S900" s="2"/>
      <c r="T900" s="2"/>
      <c r="U900" s="2"/>
      <c r="V900" s="2"/>
      <c r="W900" s="2"/>
      <c r="X900" s="2"/>
      <c r="Y900" s="2"/>
      <c r="Z900" s="2"/>
    </row>
    <row r="901" spans="19:26" x14ac:dyDescent="0.25">
      <c r="S901" s="2"/>
      <c r="T901" s="2"/>
      <c r="U901" s="2"/>
      <c r="V901" s="2"/>
      <c r="W901" s="2"/>
      <c r="X901" s="2"/>
      <c r="Y901" s="2"/>
      <c r="Z901" s="2"/>
    </row>
    <row r="902" spans="19:26" x14ac:dyDescent="0.25">
      <c r="S902" s="2"/>
      <c r="T902" s="2"/>
      <c r="U902" s="2"/>
      <c r="V902" s="2"/>
      <c r="W902" s="2"/>
      <c r="X902" s="2"/>
      <c r="Y902" s="2"/>
      <c r="Z902" s="2"/>
    </row>
    <row r="903" spans="19:26" x14ac:dyDescent="0.25">
      <c r="S903" s="2"/>
      <c r="T903" s="2"/>
      <c r="U903" s="2"/>
      <c r="V903" s="2"/>
      <c r="W903" s="2"/>
      <c r="X903" s="2"/>
      <c r="Y903" s="2"/>
      <c r="Z903" s="2"/>
    </row>
    <row r="904" spans="19:26" x14ac:dyDescent="0.25">
      <c r="S904" s="2"/>
      <c r="T904" s="2"/>
      <c r="U904" s="2"/>
      <c r="V904" s="2"/>
      <c r="W904" s="2"/>
      <c r="X904" s="2"/>
      <c r="Y904" s="2"/>
      <c r="Z904" s="2"/>
    </row>
    <row r="905" spans="19:26" x14ac:dyDescent="0.25">
      <c r="S905" s="2"/>
      <c r="T905" s="2"/>
      <c r="U905" s="2"/>
      <c r="V905" s="2"/>
      <c r="W905" s="2"/>
      <c r="X905" s="2"/>
      <c r="Y905" s="2"/>
      <c r="Z905" s="2"/>
    </row>
    <row r="906" spans="19:26" x14ac:dyDescent="0.25">
      <c r="S906" s="2"/>
      <c r="T906" s="2"/>
      <c r="U906" s="2"/>
      <c r="V906" s="2"/>
      <c r="W906" s="2"/>
      <c r="X906" s="2"/>
      <c r="Y906" s="2"/>
      <c r="Z906" s="2"/>
    </row>
    <row r="907" spans="19:26" x14ac:dyDescent="0.25">
      <c r="S907" s="2"/>
      <c r="T907" s="2"/>
      <c r="U907" s="2"/>
      <c r="V907" s="2"/>
      <c r="W907" s="2"/>
      <c r="X907" s="2"/>
      <c r="Y907" s="2"/>
      <c r="Z907" s="2"/>
    </row>
    <row r="908" spans="19:26" x14ac:dyDescent="0.25">
      <c r="S908" s="2"/>
      <c r="T908" s="2"/>
      <c r="U908" s="2"/>
      <c r="V908" s="2"/>
      <c r="W908" s="2"/>
      <c r="X908" s="2"/>
      <c r="Y908" s="2"/>
      <c r="Z908" s="2"/>
    </row>
    <row r="909" spans="19:26" x14ac:dyDescent="0.25">
      <c r="S909" s="2"/>
      <c r="T909" s="2"/>
      <c r="U909" s="2"/>
      <c r="V909" s="2"/>
      <c r="W909" s="2"/>
      <c r="X909" s="2"/>
      <c r="Y909" s="2"/>
      <c r="Z909" s="2"/>
    </row>
    <row r="910" spans="19:26" x14ac:dyDescent="0.25">
      <c r="S910" s="2"/>
      <c r="T910" s="2"/>
      <c r="U910" s="2"/>
      <c r="V910" s="2"/>
      <c r="W910" s="2"/>
      <c r="X910" s="2"/>
      <c r="Y910" s="2"/>
      <c r="Z910" s="2"/>
    </row>
    <row r="911" spans="19:26" x14ac:dyDescent="0.25">
      <c r="S911" s="2"/>
      <c r="T911" s="2"/>
      <c r="U911" s="2"/>
      <c r="V911" s="2"/>
      <c r="W911" s="2"/>
      <c r="X911" s="2"/>
      <c r="Y911" s="2"/>
      <c r="Z911" s="2"/>
    </row>
    <row r="912" spans="19:26" x14ac:dyDescent="0.25">
      <c r="S912" s="2"/>
      <c r="T912" s="2"/>
      <c r="U912" s="2"/>
      <c r="V912" s="2"/>
      <c r="W912" s="2"/>
      <c r="X912" s="2"/>
      <c r="Y912" s="2"/>
      <c r="Z912" s="2"/>
    </row>
    <row r="913" spans="19:26" x14ac:dyDescent="0.25">
      <c r="S913" s="2"/>
      <c r="T913" s="2"/>
      <c r="U913" s="2"/>
      <c r="V913" s="2"/>
      <c r="W913" s="2"/>
      <c r="X913" s="2"/>
      <c r="Y913" s="2"/>
      <c r="Z913" s="2"/>
    </row>
    <row r="914" spans="19:26" x14ac:dyDescent="0.25">
      <c r="S914" s="2"/>
      <c r="T914" s="2"/>
      <c r="U914" s="2"/>
      <c r="V914" s="2"/>
      <c r="W914" s="2"/>
      <c r="X914" s="2"/>
      <c r="Y914" s="2"/>
      <c r="Z914" s="2"/>
    </row>
    <row r="915" spans="19:26" x14ac:dyDescent="0.25">
      <c r="S915" s="2"/>
      <c r="T915" s="2"/>
      <c r="U915" s="2"/>
      <c r="V915" s="2"/>
      <c r="W915" s="2"/>
      <c r="X915" s="2"/>
      <c r="Y915" s="2"/>
      <c r="Z915" s="2"/>
    </row>
    <row r="916" spans="19:26" x14ac:dyDescent="0.25">
      <c r="S916" s="2"/>
      <c r="T916" s="2"/>
      <c r="U916" s="2"/>
      <c r="V916" s="2"/>
      <c r="W916" s="2"/>
      <c r="X916" s="2"/>
      <c r="Y916" s="2"/>
      <c r="Z916" s="2"/>
    </row>
    <row r="917" spans="19:26" x14ac:dyDescent="0.25">
      <c r="S917" s="2"/>
      <c r="T917" s="2"/>
      <c r="U917" s="2"/>
      <c r="V917" s="2"/>
      <c r="W917" s="2"/>
      <c r="X917" s="2"/>
      <c r="Y917" s="2"/>
      <c r="Z917" s="2"/>
    </row>
    <row r="918" spans="19:26" x14ac:dyDescent="0.25">
      <c r="S918" s="2"/>
      <c r="T918" s="2"/>
      <c r="U918" s="2"/>
      <c r="V918" s="2"/>
      <c r="W918" s="2"/>
      <c r="X918" s="2"/>
      <c r="Y918" s="2"/>
      <c r="Z918" s="2"/>
    </row>
    <row r="919" spans="19:26" x14ac:dyDescent="0.25">
      <c r="S919" s="2"/>
      <c r="T919" s="2"/>
      <c r="U919" s="2"/>
      <c r="V919" s="2"/>
      <c r="W919" s="2"/>
      <c r="X919" s="2"/>
      <c r="Y919" s="2"/>
      <c r="Z919" s="2"/>
    </row>
    <row r="920" spans="19:26" x14ac:dyDescent="0.25">
      <c r="S920" s="2"/>
      <c r="T920" s="2"/>
      <c r="U920" s="2"/>
      <c r="V920" s="2"/>
      <c r="W920" s="2"/>
      <c r="X920" s="2"/>
      <c r="Y920" s="2"/>
      <c r="Z920" s="2"/>
    </row>
    <row r="921" spans="19:26" x14ac:dyDescent="0.25">
      <c r="S921" s="2"/>
      <c r="T921" s="2"/>
      <c r="U921" s="2"/>
      <c r="V921" s="2"/>
      <c r="W921" s="2"/>
      <c r="X921" s="2"/>
      <c r="Y921" s="2"/>
      <c r="Z921" s="2"/>
    </row>
    <row r="922" spans="19:26" x14ac:dyDescent="0.25">
      <c r="S922" s="2"/>
      <c r="T922" s="2"/>
      <c r="U922" s="2"/>
      <c r="V922" s="2"/>
      <c r="W922" s="2"/>
      <c r="X922" s="2"/>
      <c r="Y922" s="2"/>
      <c r="Z922" s="2"/>
    </row>
    <row r="923" spans="19:26" x14ac:dyDescent="0.25">
      <c r="S923" s="2"/>
      <c r="T923" s="2"/>
      <c r="U923" s="2"/>
      <c r="V923" s="2"/>
      <c r="W923" s="2"/>
      <c r="X923" s="2"/>
      <c r="Y923" s="2"/>
      <c r="Z923" s="2"/>
    </row>
    <row r="924" spans="19:26" x14ac:dyDescent="0.25">
      <c r="S924" s="2"/>
      <c r="T924" s="2"/>
      <c r="U924" s="2"/>
      <c r="V924" s="2"/>
      <c r="W924" s="2"/>
      <c r="X924" s="2"/>
      <c r="Y924" s="2"/>
      <c r="Z924" s="2"/>
    </row>
    <row r="925" spans="19:26" x14ac:dyDescent="0.25">
      <c r="S925" s="2"/>
      <c r="T925" s="2"/>
      <c r="U925" s="2"/>
      <c r="V925" s="2"/>
      <c r="W925" s="2"/>
      <c r="X925" s="2"/>
      <c r="Y925" s="2"/>
      <c r="Z925" s="2"/>
    </row>
    <row r="926" spans="19:26" x14ac:dyDescent="0.25">
      <c r="S926" s="2"/>
      <c r="T926" s="2"/>
      <c r="U926" s="2"/>
      <c r="V926" s="2"/>
      <c r="W926" s="2"/>
      <c r="X926" s="2"/>
      <c r="Y926" s="2"/>
      <c r="Z926" s="2"/>
    </row>
    <row r="927" spans="19:26" x14ac:dyDescent="0.25">
      <c r="S927" s="2"/>
      <c r="T927" s="2"/>
      <c r="U927" s="2"/>
      <c r="V927" s="2"/>
      <c r="W927" s="2"/>
      <c r="X927" s="2"/>
      <c r="Y927" s="2"/>
      <c r="Z927" s="2"/>
    </row>
    <row r="928" spans="19:26" x14ac:dyDescent="0.25">
      <c r="S928" s="2"/>
      <c r="T928" s="2"/>
      <c r="U928" s="2"/>
      <c r="V928" s="2"/>
      <c r="W928" s="2"/>
      <c r="X928" s="2"/>
      <c r="Y928" s="2"/>
      <c r="Z928" s="2"/>
    </row>
    <row r="929" spans="19:26" x14ac:dyDescent="0.25">
      <c r="S929" s="2"/>
      <c r="T929" s="2"/>
      <c r="U929" s="2"/>
      <c r="V929" s="2"/>
      <c r="W929" s="2"/>
      <c r="X929" s="2"/>
      <c r="Y929" s="2"/>
      <c r="Z929" s="2"/>
    </row>
    <row r="930" spans="19:26" x14ac:dyDescent="0.25">
      <c r="S930" s="2"/>
      <c r="T930" s="2"/>
      <c r="U930" s="2"/>
      <c r="V930" s="2"/>
      <c r="W930" s="2"/>
      <c r="X930" s="2"/>
      <c r="Y930" s="2"/>
      <c r="Z930" s="2"/>
    </row>
    <row r="931" spans="19:26" x14ac:dyDescent="0.25">
      <c r="S931" s="2"/>
      <c r="T931" s="2"/>
      <c r="U931" s="2"/>
      <c r="V931" s="2"/>
      <c r="W931" s="2"/>
      <c r="X931" s="2"/>
      <c r="Y931" s="2"/>
      <c r="Z931" s="2"/>
    </row>
    <row r="932" spans="19:26" x14ac:dyDescent="0.25">
      <c r="S932" s="2"/>
      <c r="T932" s="2"/>
      <c r="U932" s="2"/>
      <c r="V932" s="2"/>
      <c r="W932" s="2"/>
      <c r="X932" s="2"/>
      <c r="Y932" s="2"/>
      <c r="Z932" s="2"/>
    </row>
    <row r="933" spans="19:26" x14ac:dyDescent="0.25">
      <c r="S933" s="2"/>
      <c r="T933" s="2"/>
      <c r="U933" s="2"/>
      <c r="V933" s="2"/>
      <c r="W933" s="2"/>
      <c r="X933" s="2"/>
      <c r="Y933" s="2"/>
      <c r="Z933" s="2"/>
    </row>
    <row r="934" spans="19:26" x14ac:dyDescent="0.25">
      <c r="S934" s="2"/>
      <c r="T934" s="2"/>
      <c r="U934" s="2"/>
      <c r="V934" s="2"/>
      <c r="W934" s="2"/>
      <c r="X934" s="2"/>
      <c r="Y934" s="2"/>
      <c r="Z934" s="2"/>
    </row>
    <row r="935" spans="19:26" x14ac:dyDescent="0.25">
      <c r="S935" s="2"/>
      <c r="T935" s="2"/>
      <c r="U935" s="2"/>
      <c r="V935" s="2"/>
      <c r="W935" s="2"/>
      <c r="X935" s="2"/>
      <c r="Y935" s="2"/>
      <c r="Z935" s="2"/>
    </row>
    <row r="936" spans="19:26" x14ac:dyDescent="0.25">
      <c r="S936" s="2"/>
      <c r="T936" s="2"/>
      <c r="U936" s="2"/>
      <c r="V936" s="2"/>
      <c r="W936" s="2"/>
      <c r="X936" s="2"/>
      <c r="Y936" s="2"/>
      <c r="Z936" s="2"/>
    </row>
    <row r="937" spans="19:26" x14ac:dyDescent="0.25">
      <c r="S937" s="2"/>
      <c r="T937" s="2"/>
      <c r="U937" s="2"/>
      <c r="V937" s="2"/>
      <c r="W937" s="2"/>
      <c r="X937" s="2"/>
      <c r="Y937" s="2"/>
      <c r="Z937" s="2"/>
    </row>
    <row r="938" spans="19:26" x14ac:dyDescent="0.25">
      <c r="S938" s="2"/>
      <c r="T938" s="2"/>
      <c r="U938" s="2"/>
      <c r="V938" s="2"/>
      <c r="W938" s="2"/>
      <c r="X938" s="2"/>
      <c r="Y938" s="2"/>
      <c r="Z938" s="2"/>
    </row>
    <row r="939" spans="19:26" x14ac:dyDescent="0.25">
      <c r="S939" s="2"/>
      <c r="T939" s="2"/>
      <c r="U939" s="2"/>
      <c r="V939" s="2"/>
      <c r="W939" s="2"/>
      <c r="X939" s="2"/>
      <c r="Y939" s="2"/>
      <c r="Z939" s="2"/>
    </row>
    <row r="940" spans="19:26" x14ac:dyDescent="0.25">
      <c r="S940" s="2"/>
      <c r="T940" s="2"/>
      <c r="U940" s="2"/>
      <c r="V940" s="2"/>
      <c r="W940" s="2"/>
      <c r="X940" s="2"/>
      <c r="Y940" s="2"/>
      <c r="Z940" s="2"/>
    </row>
    <row r="941" spans="19:26" x14ac:dyDescent="0.25">
      <c r="S941" s="2"/>
      <c r="T941" s="2"/>
      <c r="U941" s="2"/>
      <c r="V941" s="2"/>
      <c r="W941" s="2"/>
      <c r="X941" s="2"/>
      <c r="Y941" s="2"/>
      <c r="Z941" s="2"/>
    </row>
    <row r="942" spans="19:26" x14ac:dyDescent="0.25">
      <c r="S942" s="2"/>
      <c r="T942" s="2"/>
      <c r="U942" s="2"/>
      <c r="V942" s="2"/>
      <c r="W942" s="2"/>
      <c r="X942" s="2"/>
      <c r="Y942" s="2"/>
      <c r="Z942" s="2"/>
    </row>
    <row r="943" spans="19:26" x14ac:dyDescent="0.25">
      <c r="S943" s="2"/>
      <c r="T943" s="2"/>
      <c r="U943" s="2"/>
      <c r="V943" s="2"/>
      <c r="W943" s="2"/>
      <c r="X943" s="2"/>
      <c r="Y943" s="2"/>
      <c r="Z943" s="2"/>
    </row>
    <row r="944" spans="19:26" x14ac:dyDescent="0.25">
      <c r="S944" s="2"/>
      <c r="T944" s="2"/>
      <c r="U944" s="2"/>
      <c r="V944" s="2"/>
      <c r="W944" s="2"/>
      <c r="X944" s="2"/>
      <c r="Y944" s="2"/>
      <c r="Z944" s="2"/>
    </row>
    <row r="945" spans="19:26" x14ac:dyDescent="0.25">
      <c r="S945" s="2"/>
      <c r="T945" s="2"/>
      <c r="U945" s="2"/>
      <c r="V945" s="2"/>
      <c r="W945" s="2"/>
      <c r="X945" s="2"/>
      <c r="Y945" s="2"/>
      <c r="Z945" s="2"/>
    </row>
    <row r="946" spans="19:26" x14ac:dyDescent="0.25">
      <c r="S946" s="2"/>
      <c r="T946" s="2"/>
      <c r="U946" s="2"/>
      <c r="V946" s="2"/>
      <c r="W946" s="2"/>
      <c r="X946" s="2"/>
      <c r="Y946" s="2"/>
      <c r="Z946" s="2"/>
    </row>
    <row r="947" spans="19:26" x14ac:dyDescent="0.25">
      <c r="S947" s="2"/>
      <c r="T947" s="2"/>
      <c r="U947" s="2"/>
      <c r="V947" s="2"/>
      <c r="W947" s="2"/>
      <c r="X947" s="2"/>
      <c r="Y947" s="2"/>
      <c r="Z947" s="2"/>
    </row>
    <row r="948" spans="19:26" x14ac:dyDescent="0.25">
      <c r="S948" s="2"/>
      <c r="T948" s="2"/>
      <c r="U948" s="2"/>
      <c r="V948" s="2"/>
      <c r="W948" s="2"/>
      <c r="X948" s="2"/>
      <c r="Y948" s="2"/>
      <c r="Z948" s="2"/>
    </row>
    <row r="949" spans="19:26" x14ac:dyDescent="0.25">
      <c r="S949" s="2"/>
      <c r="T949" s="2"/>
      <c r="U949" s="2"/>
      <c r="V949" s="2"/>
      <c r="W949" s="2"/>
      <c r="X949" s="2"/>
      <c r="Y949" s="2"/>
      <c r="Z949" s="2"/>
    </row>
    <row r="950" spans="19:26" x14ac:dyDescent="0.25">
      <c r="S950" s="2"/>
      <c r="T950" s="2"/>
      <c r="U950" s="2"/>
      <c r="V950" s="2"/>
      <c r="W950" s="2"/>
      <c r="X950" s="2"/>
      <c r="Y950" s="2"/>
      <c r="Z950" s="2"/>
    </row>
    <row r="951" spans="19:26" x14ac:dyDescent="0.25">
      <c r="S951" s="2"/>
      <c r="T951" s="2"/>
      <c r="U951" s="2"/>
      <c r="V951" s="2"/>
      <c r="W951" s="2"/>
      <c r="X951" s="2"/>
      <c r="Y951" s="2"/>
      <c r="Z951" s="2"/>
    </row>
    <row r="952" spans="19:26" x14ac:dyDescent="0.25">
      <c r="S952" s="2"/>
      <c r="T952" s="2"/>
      <c r="U952" s="2"/>
      <c r="V952" s="2"/>
      <c r="W952" s="2"/>
      <c r="X952" s="2"/>
      <c r="Y952" s="2"/>
      <c r="Z952" s="2"/>
    </row>
    <row r="953" spans="19:26" x14ac:dyDescent="0.25">
      <c r="S953" s="2"/>
      <c r="T953" s="2"/>
      <c r="U953" s="2"/>
      <c r="V953" s="2"/>
      <c r="W953" s="2"/>
      <c r="X953" s="2"/>
      <c r="Y953" s="2"/>
      <c r="Z953" s="2"/>
    </row>
    <row r="954" spans="19:26" x14ac:dyDescent="0.25">
      <c r="S954" s="2"/>
      <c r="T954" s="2"/>
      <c r="U954" s="2"/>
      <c r="V954" s="2"/>
      <c r="W954" s="2"/>
      <c r="X954" s="2"/>
      <c r="Y954" s="2"/>
      <c r="Z954" s="2"/>
    </row>
    <row r="955" spans="19:26" x14ac:dyDescent="0.25">
      <c r="S955" s="2"/>
      <c r="T955" s="2"/>
      <c r="U955" s="2"/>
      <c r="V955" s="2"/>
      <c r="W955" s="2"/>
      <c r="X955" s="2"/>
      <c r="Y955" s="2"/>
      <c r="Z955" s="2"/>
    </row>
    <row r="956" spans="19:26" x14ac:dyDescent="0.25">
      <c r="S956" s="2"/>
      <c r="T956" s="2"/>
      <c r="U956" s="2"/>
      <c r="V956" s="2"/>
      <c r="W956" s="2"/>
      <c r="X956" s="2"/>
      <c r="Y956" s="2"/>
      <c r="Z956" s="2"/>
    </row>
    <row r="957" spans="19:26" x14ac:dyDescent="0.25">
      <c r="S957" s="2"/>
      <c r="T957" s="2"/>
      <c r="U957" s="2"/>
      <c r="V957" s="2"/>
      <c r="W957" s="2"/>
      <c r="X957" s="2"/>
      <c r="Y957" s="2"/>
      <c r="Z957" s="2"/>
    </row>
    <row r="958" spans="19:26" x14ac:dyDescent="0.25">
      <c r="S958" s="2"/>
      <c r="T958" s="2"/>
      <c r="U958" s="2"/>
      <c r="V958" s="2"/>
      <c r="W958" s="2"/>
      <c r="X958" s="2"/>
      <c r="Y958" s="2"/>
      <c r="Z958" s="2"/>
    </row>
    <row r="959" spans="19:26" x14ac:dyDescent="0.25">
      <c r="S959" s="2"/>
      <c r="T959" s="2"/>
      <c r="U959" s="2"/>
      <c r="V959" s="2"/>
      <c r="W959" s="2"/>
      <c r="X959" s="2"/>
      <c r="Y959" s="2"/>
      <c r="Z959" s="2"/>
    </row>
    <row r="960" spans="19:26" x14ac:dyDescent="0.25">
      <c r="S960" s="2"/>
      <c r="T960" s="2"/>
      <c r="U960" s="2"/>
      <c r="V960" s="2"/>
      <c r="W960" s="2"/>
      <c r="X960" s="2"/>
      <c r="Y960" s="2"/>
      <c r="Z960" s="2"/>
    </row>
    <row r="961" spans="19:26" x14ac:dyDescent="0.25">
      <c r="S961" s="2"/>
      <c r="T961" s="2"/>
      <c r="U961" s="2"/>
      <c r="V961" s="2"/>
      <c r="W961" s="2"/>
      <c r="X961" s="2"/>
      <c r="Y961" s="2"/>
      <c r="Z961" s="2"/>
    </row>
    <row r="962" spans="19:26" x14ac:dyDescent="0.25">
      <c r="S962" s="2"/>
      <c r="T962" s="2"/>
      <c r="U962" s="2"/>
      <c r="V962" s="2"/>
      <c r="W962" s="2"/>
      <c r="X962" s="2"/>
      <c r="Y962" s="2"/>
      <c r="Z962" s="2"/>
    </row>
    <row r="963" spans="19:26" x14ac:dyDescent="0.25">
      <c r="S963" s="2"/>
      <c r="T963" s="2"/>
      <c r="U963" s="2"/>
      <c r="V963" s="2"/>
      <c r="W963" s="2"/>
      <c r="X963" s="2"/>
      <c r="Y963" s="2"/>
      <c r="Z963" s="2"/>
    </row>
    <row r="964" spans="19:26" x14ac:dyDescent="0.25">
      <c r="S964" s="2"/>
      <c r="T964" s="2"/>
      <c r="U964" s="2"/>
      <c r="V964" s="2"/>
      <c r="W964" s="2"/>
      <c r="X964" s="2"/>
      <c r="Y964" s="2"/>
      <c r="Z964" s="2"/>
    </row>
    <row r="965" spans="19:26" x14ac:dyDescent="0.25">
      <c r="S965" s="2"/>
      <c r="T965" s="2"/>
      <c r="U965" s="2"/>
      <c r="V965" s="2"/>
      <c r="W965" s="2"/>
      <c r="X965" s="2"/>
      <c r="Y965" s="2"/>
      <c r="Z965" s="2"/>
    </row>
    <row r="966" spans="19:26" x14ac:dyDescent="0.25">
      <c r="S966" s="2"/>
      <c r="T966" s="2"/>
      <c r="U966" s="2"/>
      <c r="V966" s="2"/>
      <c r="W966" s="2"/>
      <c r="X966" s="2"/>
      <c r="Y966" s="2"/>
      <c r="Z966" s="2"/>
    </row>
    <row r="967" spans="19:26" x14ac:dyDescent="0.25">
      <c r="S967" s="2"/>
      <c r="T967" s="2"/>
      <c r="U967" s="2"/>
      <c r="V967" s="2"/>
      <c r="W967" s="2"/>
      <c r="X967" s="2"/>
      <c r="Y967" s="2"/>
      <c r="Z967" s="2"/>
    </row>
    <row r="968" spans="19:26" x14ac:dyDescent="0.25">
      <c r="S968" s="2"/>
      <c r="T968" s="2"/>
      <c r="U968" s="2"/>
      <c r="V968" s="2"/>
      <c r="W968" s="2"/>
      <c r="X968" s="2"/>
      <c r="Y968" s="2"/>
      <c r="Z968" s="2"/>
    </row>
    <row r="969" spans="19:26" x14ac:dyDescent="0.25">
      <c r="S969" s="2"/>
      <c r="T969" s="2"/>
      <c r="U969" s="2"/>
      <c r="V969" s="2"/>
      <c r="W969" s="2"/>
      <c r="X969" s="2"/>
      <c r="Y969" s="2"/>
      <c r="Z969" s="2"/>
    </row>
    <row r="970" spans="19:26" x14ac:dyDescent="0.25">
      <c r="S970" s="2"/>
      <c r="T970" s="2"/>
      <c r="U970" s="2"/>
      <c r="V970" s="2"/>
      <c r="W970" s="2"/>
      <c r="X970" s="2"/>
      <c r="Y970" s="2"/>
      <c r="Z970" s="2"/>
    </row>
    <row r="971" spans="19:26" x14ac:dyDescent="0.25">
      <c r="S971" s="2"/>
      <c r="T971" s="2"/>
      <c r="U971" s="2"/>
      <c r="V971" s="2"/>
      <c r="W971" s="2"/>
      <c r="X971" s="2"/>
      <c r="Y971" s="2"/>
      <c r="Z971" s="2"/>
    </row>
    <row r="972" spans="19:26" x14ac:dyDescent="0.25">
      <c r="S972" s="2"/>
      <c r="T972" s="2"/>
      <c r="U972" s="2"/>
      <c r="V972" s="2"/>
      <c r="W972" s="2"/>
      <c r="X972" s="2"/>
      <c r="Y972" s="2"/>
      <c r="Z972" s="2"/>
    </row>
    <row r="973" spans="19:26" x14ac:dyDescent="0.25">
      <c r="S973" s="2"/>
      <c r="T973" s="2"/>
      <c r="U973" s="2"/>
      <c r="V973" s="2"/>
      <c r="W973" s="2"/>
      <c r="X973" s="2"/>
      <c r="Y973" s="2"/>
      <c r="Z973" s="2"/>
    </row>
    <row r="974" spans="19:26" x14ac:dyDescent="0.25">
      <c r="S974" s="2"/>
      <c r="T974" s="2"/>
      <c r="U974" s="2"/>
      <c r="V974" s="2"/>
      <c r="W974" s="2"/>
      <c r="X974" s="2"/>
      <c r="Y974" s="2"/>
      <c r="Z974" s="2"/>
    </row>
    <row r="975" spans="19:26" x14ac:dyDescent="0.25">
      <c r="S975" s="2"/>
      <c r="T975" s="2"/>
      <c r="U975" s="2"/>
      <c r="V975" s="2"/>
      <c r="W975" s="2"/>
      <c r="X975" s="2"/>
      <c r="Y975" s="2"/>
      <c r="Z975" s="2"/>
    </row>
    <row r="976" spans="19:26" x14ac:dyDescent="0.25">
      <c r="S976" s="2"/>
      <c r="T976" s="2"/>
      <c r="U976" s="2"/>
      <c r="V976" s="2"/>
      <c r="W976" s="2"/>
      <c r="X976" s="2"/>
      <c r="Y976" s="2"/>
      <c r="Z976" s="2"/>
    </row>
    <row r="977" spans="19:26" x14ac:dyDescent="0.25">
      <c r="S977" s="2"/>
      <c r="T977" s="2"/>
      <c r="U977" s="2"/>
      <c r="V977" s="2"/>
      <c r="W977" s="2"/>
      <c r="X977" s="2"/>
      <c r="Y977" s="2"/>
      <c r="Z977" s="2"/>
    </row>
    <row r="978" spans="19:26" x14ac:dyDescent="0.25">
      <c r="S978" s="2"/>
      <c r="T978" s="2"/>
      <c r="U978" s="2"/>
      <c r="V978" s="2"/>
      <c r="W978" s="2"/>
      <c r="X978" s="2"/>
      <c r="Y978" s="2"/>
      <c r="Z978" s="2"/>
    </row>
    <row r="979" spans="19:26" x14ac:dyDescent="0.25">
      <c r="S979" s="2"/>
      <c r="T979" s="2"/>
      <c r="U979" s="2"/>
      <c r="V979" s="2"/>
      <c r="W979" s="2"/>
      <c r="X979" s="2"/>
      <c r="Y979" s="2"/>
      <c r="Z979" s="2"/>
    </row>
    <row r="980" spans="19:26" x14ac:dyDescent="0.25">
      <c r="S980" s="2"/>
      <c r="T980" s="2"/>
      <c r="U980" s="2"/>
      <c r="V980" s="2"/>
      <c r="W980" s="2"/>
      <c r="X980" s="2"/>
      <c r="Y980" s="2"/>
      <c r="Z980" s="2"/>
    </row>
    <row r="981" spans="19:26" x14ac:dyDescent="0.25">
      <c r="S981" s="2"/>
      <c r="T981" s="2"/>
      <c r="U981" s="2"/>
      <c r="V981" s="2"/>
      <c r="W981" s="2"/>
      <c r="X981" s="2"/>
      <c r="Y981" s="2"/>
      <c r="Z981" s="2"/>
    </row>
    <row r="982" spans="19:26" x14ac:dyDescent="0.25">
      <c r="S982" s="2"/>
      <c r="T982" s="2"/>
      <c r="U982" s="2"/>
      <c r="V982" s="2"/>
      <c r="W982" s="2"/>
      <c r="X982" s="2"/>
      <c r="Y982" s="2"/>
      <c r="Z982" s="2"/>
    </row>
    <row r="983" spans="19:26" x14ac:dyDescent="0.25">
      <c r="S983" s="2"/>
      <c r="T983" s="2"/>
      <c r="U983" s="2"/>
      <c r="V983" s="2"/>
      <c r="W983" s="2"/>
      <c r="X983" s="2"/>
      <c r="Y983" s="2"/>
      <c r="Z983" s="2"/>
    </row>
    <row r="984" spans="19:26" x14ac:dyDescent="0.25">
      <c r="S984" s="2"/>
      <c r="T984" s="2"/>
      <c r="U984" s="2"/>
      <c r="V984" s="2"/>
      <c r="W984" s="2"/>
      <c r="X984" s="2"/>
      <c r="Y984" s="2"/>
      <c r="Z984" s="2"/>
    </row>
    <row r="985" spans="19:26" x14ac:dyDescent="0.25">
      <c r="S985" s="2"/>
      <c r="T985" s="2"/>
      <c r="U985" s="2"/>
      <c r="V985" s="2"/>
      <c r="W985" s="2"/>
      <c r="X985" s="2"/>
      <c r="Y985" s="2"/>
      <c r="Z985" s="2"/>
    </row>
    <row r="986" spans="19:26" x14ac:dyDescent="0.25">
      <c r="S986" s="2"/>
      <c r="T986" s="2"/>
      <c r="U986" s="2"/>
      <c r="V986" s="2"/>
      <c r="W986" s="2"/>
      <c r="X986" s="2"/>
      <c r="Y986" s="2"/>
      <c r="Z986" s="2"/>
    </row>
    <row r="987" spans="19:26" x14ac:dyDescent="0.25">
      <c r="S987" s="2"/>
      <c r="T987" s="2"/>
      <c r="U987" s="2"/>
      <c r="V987" s="2"/>
      <c r="W987" s="2"/>
      <c r="X987" s="2"/>
      <c r="Y987" s="2"/>
      <c r="Z987" s="2"/>
    </row>
    <row r="988" spans="19:26" x14ac:dyDescent="0.25">
      <c r="S988" s="2"/>
      <c r="T988" s="2"/>
      <c r="U988" s="2"/>
      <c r="V988" s="2"/>
      <c r="W988" s="2"/>
      <c r="X988" s="2"/>
      <c r="Y988" s="2"/>
      <c r="Z988" s="2"/>
    </row>
    <row r="989" spans="19:26" x14ac:dyDescent="0.25">
      <c r="S989" s="2"/>
      <c r="T989" s="2"/>
      <c r="U989" s="2"/>
      <c r="V989" s="2"/>
      <c r="W989" s="2"/>
      <c r="X989" s="2"/>
      <c r="Y989" s="2"/>
      <c r="Z989" s="2"/>
    </row>
    <row r="990" spans="19:26" x14ac:dyDescent="0.25">
      <c r="S990" s="2"/>
      <c r="T990" s="2"/>
      <c r="U990" s="2"/>
      <c r="V990" s="2"/>
      <c r="W990" s="2"/>
      <c r="X990" s="2"/>
      <c r="Y990" s="2"/>
      <c r="Z990" s="2"/>
    </row>
    <row r="991" spans="19:26" x14ac:dyDescent="0.25">
      <c r="S991" s="2"/>
      <c r="T991" s="2"/>
      <c r="U991" s="2"/>
      <c r="V991" s="2"/>
      <c r="W991" s="2"/>
      <c r="X991" s="2"/>
      <c r="Y991" s="2"/>
      <c r="Z991" s="2"/>
    </row>
    <row r="992" spans="19:26" x14ac:dyDescent="0.25">
      <c r="S992" s="2"/>
      <c r="T992" s="2"/>
      <c r="U992" s="2"/>
      <c r="V992" s="2"/>
      <c r="W992" s="2"/>
      <c r="X992" s="2"/>
      <c r="Y992" s="2"/>
      <c r="Z992" s="2"/>
    </row>
    <row r="993" spans="19:26" x14ac:dyDescent="0.25">
      <c r="S993" s="2"/>
      <c r="T993" s="2"/>
      <c r="U993" s="2"/>
      <c r="V993" s="2"/>
      <c r="W993" s="2"/>
      <c r="X993" s="2"/>
      <c r="Y993" s="2"/>
      <c r="Z993" s="2"/>
    </row>
    <row r="994" spans="19:26" x14ac:dyDescent="0.25">
      <c r="S994" s="2"/>
      <c r="T994" s="2"/>
      <c r="U994" s="2"/>
      <c r="V994" s="2"/>
      <c r="W994" s="2"/>
      <c r="X994" s="2"/>
      <c r="Y994" s="2"/>
      <c r="Z994" s="2"/>
    </row>
    <row r="995" spans="19:26" x14ac:dyDescent="0.25">
      <c r="S995" s="2"/>
      <c r="T995" s="2"/>
      <c r="U995" s="2"/>
      <c r="V995" s="2"/>
      <c r="W995" s="2"/>
      <c r="X995" s="2"/>
      <c r="Y995" s="2"/>
      <c r="Z995" s="2"/>
    </row>
    <row r="996" spans="19:26" x14ac:dyDescent="0.25">
      <c r="S996" s="2"/>
      <c r="T996" s="2"/>
      <c r="U996" s="2"/>
      <c r="V996" s="2"/>
      <c r="W996" s="2"/>
      <c r="X996" s="2"/>
      <c r="Y996" s="2"/>
      <c r="Z996" s="2"/>
    </row>
    <row r="997" spans="19:26" x14ac:dyDescent="0.25">
      <c r="S997" s="2"/>
      <c r="T997" s="2"/>
      <c r="U997" s="2"/>
      <c r="V997" s="2"/>
      <c r="W997" s="2"/>
      <c r="X997" s="2"/>
      <c r="Y997" s="2"/>
      <c r="Z997" s="2"/>
    </row>
    <row r="998" spans="19:26" x14ac:dyDescent="0.25">
      <c r="S998" s="2"/>
      <c r="T998" s="2"/>
      <c r="U998" s="2"/>
      <c r="V998" s="2"/>
      <c r="W998" s="2"/>
      <c r="X998" s="2"/>
      <c r="Y998" s="2"/>
      <c r="Z998" s="2"/>
    </row>
    <row r="999" spans="19:26" x14ac:dyDescent="0.25">
      <c r="S999" s="2"/>
      <c r="T999" s="2"/>
      <c r="U999" s="2"/>
      <c r="V999" s="2"/>
      <c r="W999" s="2"/>
      <c r="X999" s="2"/>
      <c r="Y999" s="2"/>
      <c r="Z999" s="2"/>
    </row>
    <row r="1000" spans="19:26" x14ac:dyDescent="0.25">
      <c r="S1000" s="2"/>
      <c r="T1000" s="2"/>
      <c r="U1000" s="2"/>
      <c r="V1000" s="2"/>
      <c r="W1000" s="2"/>
      <c r="X1000" s="2"/>
      <c r="Y1000" s="2"/>
      <c r="Z1000" s="2"/>
    </row>
    <row r="1001" spans="19:26" x14ac:dyDescent="0.25">
      <c r="S1001" s="2"/>
      <c r="T1001" s="2"/>
      <c r="U1001" s="2"/>
      <c r="V1001" s="2"/>
      <c r="W1001" s="2"/>
      <c r="X1001" s="2"/>
      <c r="Y1001" s="2"/>
      <c r="Z1001" s="2"/>
    </row>
    <row r="1002" spans="19:26" x14ac:dyDescent="0.25">
      <c r="S1002" s="2"/>
      <c r="T1002" s="2"/>
      <c r="U1002" s="2"/>
      <c r="V1002" s="2"/>
      <c r="W1002" s="2"/>
      <c r="X1002" s="2"/>
      <c r="Y1002" s="2"/>
      <c r="Z1002" s="2"/>
    </row>
    <row r="1003" spans="19:26" x14ac:dyDescent="0.25">
      <c r="S1003" s="2"/>
      <c r="T1003" s="2"/>
      <c r="U1003" s="2"/>
      <c r="V1003" s="2"/>
      <c r="W1003" s="2"/>
      <c r="X1003" s="2"/>
      <c r="Y1003" s="2"/>
      <c r="Z1003" s="2"/>
    </row>
    <row r="1004" spans="19:26" x14ac:dyDescent="0.25">
      <c r="S1004" s="2"/>
      <c r="T1004" s="2"/>
      <c r="U1004" s="2"/>
      <c r="V1004" s="2"/>
      <c r="W1004" s="2"/>
      <c r="X1004" s="2"/>
      <c r="Y1004" s="2"/>
      <c r="Z1004" s="2"/>
    </row>
    <row r="1005" spans="19:26" x14ac:dyDescent="0.25">
      <c r="S1005" s="2"/>
      <c r="T1005" s="2"/>
      <c r="U1005" s="2"/>
      <c r="V1005" s="2"/>
      <c r="W1005" s="2"/>
      <c r="X1005" s="2"/>
      <c r="Y1005" s="2"/>
      <c r="Z1005" s="2"/>
    </row>
    <row r="1006" spans="19:26" x14ac:dyDescent="0.25">
      <c r="S1006" s="2"/>
      <c r="T1006" s="2"/>
      <c r="U1006" s="2"/>
      <c r="V1006" s="2"/>
      <c r="W1006" s="2"/>
      <c r="X1006" s="2"/>
      <c r="Y1006" s="2"/>
      <c r="Z1006" s="2"/>
    </row>
    <row r="1007" spans="19:26" x14ac:dyDescent="0.25">
      <c r="S1007" s="2"/>
      <c r="T1007" s="2"/>
      <c r="U1007" s="2"/>
      <c r="V1007" s="2"/>
      <c r="W1007" s="2"/>
      <c r="X1007" s="2"/>
      <c r="Y1007" s="2"/>
      <c r="Z1007" s="2"/>
    </row>
    <row r="1008" spans="19:26" x14ac:dyDescent="0.25">
      <c r="S1008" s="2"/>
      <c r="T1008" s="2"/>
      <c r="U1008" s="2"/>
      <c r="V1008" s="2"/>
      <c r="W1008" s="2"/>
      <c r="X1008" s="2"/>
      <c r="Y1008" s="2"/>
      <c r="Z1008" s="2"/>
    </row>
    <row r="1009" spans="19:26" x14ac:dyDescent="0.25">
      <c r="S1009" s="2"/>
      <c r="T1009" s="2"/>
      <c r="U1009" s="2"/>
      <c r="V1009" s="2"/>
      <c r="W1009" s="2"/>
      <c r="X1009" s="2"/>
      <c r="Y1009" s="2"/>
      <c r="Z1009" s="2"/>
    </row>
    <row r="1010" spans="19:26" x14ac:dyDescent="0.25">
      <c r="S1010" s="2"/>
      <c r="T1010" s="2"/>
      <c r="U1010" s="2"/>
      <c r="V1010" s="2"/>
      <c r="W1010" s="2"/>
      <c r="X1010" s="2"/>
      <c r="Y1010" s="2"/>
      <c r="Z1010" s="2"/>
    </row>
    <row r="1011" spans="19:26" x14ac:dyDescent="0.25">
      <c r="S1011" s="2"/>
      <c r="T1011" s="2"/>
      <c r="U1011" s="2"/>
      <c r="V1011" s="2"/>
      <c r="W1011" s="2"/>
      <c r="X1011" s="2"/>
      <c r="Y1011" s="2"/>
      <c r="Z1011" s="2"/>
    </row>
    <row r="1012" spans="19:26" x14ac:dyDescent="0.25">
      <c r="S1012" s="2"/>
      <c r="T1012" s="2"/>
      <c r="U1012" s="2"/>
      <c r="V1012" s="2"/>
      <c r="W1012" s="2"/>
      <c r="X1012" s="2"/>
      <c r="Y1012" s="2"/>
      <c r="Z1012" s="2"/>
    </row>
    <row r="1013" spans="19:26" x14ac:dyDescent="0.25">
      <c r="S1013" s="2"/>
      <c r="T1013" s="2"/>
      <c r="U1013" s="2"/>
      <c r="V1013" s="2"/>
      <c r="W1013" s="2"/>
      <c r="X1013" s="2"/>
      <c r="Y1013" s="2"/>
      <c r="Z1013" s="2"/>
    </row>
    <row r="1014" spans="19:26" x14ac:dyDescent="0.25">
      <c r="S1014" s="2"/>
      <c r="T1014" s="2"/>
      <c r="U1014" s="2"/>
      <c r="V1014" s="2"/>
      <c r="W1014" s="2"/>
      <c r="X1014" s="2"/>
      <c r="Y1014" s="2"/>
      <c r="Z1014" s="2"/>
    </row>
    <row r="1015" spans="19:26" x14ac:dyDescent="0.25">
      <c r="S1015" s="2"/>
      <c r="T1015" s="2"/>
      <c r="U1015" s="2"/>
      <c r="V1015" s="2"/>
      <c r="W1015" s="2"/>
      <c r="X1015" s="2"/>
      <c r="Y1015" s="2"/>
      <c r="Z1015" s="2"/>
    </row>
    <row r="1016" spans="19:26" x14ac:dyDescent="0.25">
      <c r="S1016" s="2"/>
      <c r="T1016" s="2"/>
      <c r="U1016" s="2"/>
      <c r="V1016" s="2"/>
      <c r="W1016" s="2"/>
      <c r="X1016" s="2"/>
      <c r="Y1016" s="2"/>
      <c r="Z1016" s="2"/>
    </row>
    <row r="1017" spans="19:26" x14ac:dyDescent="0.25">
      <c r="S1017" s="2"/>
      <c r="T1017" s="2"/>
      <c r="U1017" s="2"/>
      <c r="V1017" s="2"/>
      <c r="W1017" s="2"/>
      <c r="X1017" s="2"/>
      <c r="Y1017" s="2"/>
      <c r="Z1017" s="2"/>
    </row>
    <row r="1018" spans="19:26" x14ac:dyDescent="0.25">
      <c r="S1018" s="2"/>
      <c r="T1018" s="2"/>
      <c r="U1018" s="2"/>
      <c r="V1018" s="2"/>
      <c r="W1018" s="2"/>
      <c r="X1018" s="2"/>
      <c r="Y1018" s="2"/>
      <c r="Z1018" s="2"/>
    </row>
    <row r="1019" spans="19:26" x14ac:dyDescent="0.25">
      <c r="S1019" s="2"/>
      <c r="T1019" s="2"/>
      <c r="U1019" s="2"/>
      <c r="V1019" s="2"/>
      <c r="W1019" s="2"/>
      <c r="X1019" s="2"/>
      <c r="Y1019" s="2"/>
      <c r="Z1019" s="2"/>
    </row>
    <row r="1020" spans="19:26" x14ac:dyDescent="0.25">
      <c r="S1020" s="2"/>
      <c r="T1020" s="2"/>
      <c r="U1020" s="2"/>
      <c r="V1020" s="2"/>
      <c r="W1020" s="2"/>
      <c r="X1020" s="2"/>
      <c r="Y1020" s="2"/>
      <c r="Z1020" s="2"/>
    </row>
    <row r="1021" spans="19:26" x14ac:dyDescent="0.25">
      <c r="S1021" s="2"/>
      <c r="T1021" s="2"/>
      <c r="U1021" s="2"/>
      <c r="V1021" s="2"/>
      <c r="W1021" s="2"/>
      <c r="X1021" s="2"/>
      <c r="Y1021" s="2"/>
      <c r="Z1021" s="2"/>
    </row>
    <row r="1022" spans="19:26" x14ac:dyDescent="0.25">
      <c r="S1022" s="2"/>
      <c r="T1022" s="2"/>
      <c r="U1022" s="2"/>
      <c r="V1022" s="2"/>
      <c r="W1022" s="2"/>
      <c r="X1022" s="2"/>
      <c r="Y1022" s="2"/>
      <c r="Z1022" s="2"/>
    </row>
    <row r="1023" spans="19:26" x14ac:dyDescent="0.25">
      <c r="S1023" s="2"/>
      <c r="T1023" s="2"/>
      <c r="U1023" s="2"/>
      <c r="V1023" s="2"/>
      <c r="W1023" s="2"/>
      <c r="X1023" s="2"/>
      <c r="Y1023" s="2"/>
      <c r="Z1023" s="2"/>
    </row>
    <row r="1024" spans="19:26" x14ac:dyDescent="0.25">
      <c r="S1024" s="2"/>
      <c r="T1024" s="2"/>
      <c r="U1024" s="2"/>
      <c r="V1024" s="2"/>
      <c r="W1024" s="2"/>
      <c r="X1024" s="2"/>
      <c r="Y1024" s="2"/>
      <c r="Z1024" s="2"/>
    </row>
    <row r="1025" spans="19:26" x14ac:dyDescent="0.25">
      <c r="S1025" s="2"/>
      <c r="T1025" s="2"/>
      <c r="U1025" s="2"/>
      <c r="V1025" s="2"/>
      <c r="W1025" s="2"/>
      <c r="X1025" s="2"/>
      <c r="Y1025" s="2"/>
      <c r="Z1025" s="2"/>
    </row>
    <row r="1026" spans="19:26" x14ac:dyDescent="0.25">
      <c r="S1026" s="2"/>
      <c r="T1026" s="2"/>
      <c r="U1026" s="2"/>
      <c r="V1026" s="2"/>
      <c r="W1026" s="2"/>
      <c r="X1026" s="2"/>
      <c r="Y1026" s="2"/>
      <c r="Z1026" s="2"/>
    </row>
    <row r="1027" spans="19:26" x14ac:dyDescent="0.25">
      <c r="S1027" s="2"/>
      <c r="T1027" s="2"/>
      <c r="U1027" s="2"/>
      <c r="V1027" s="2"/>
      <c r="W1027" s="2"/>
      <c r="X1027" s="2"/>
      <c r="Y1027" s="2"/>
      <c r="Z1027" s="2"/>
    </row>
    <row r="1028" spans="19:26" x14ac:dyDescent="0.25">
      <c r="S1028" s="2"/>
      <c r="T1028" s="2"/>
      <c r="U1028" s="2"/>
      <c r="V1028" s="2"/>
      <c r="W1028" s="2"/>
      <c r="X1028" s="2"/>
      <c r="Y1028" s="2"/>
      <c r="Z1028" s="2"/>
    </row>
    <row r="1029" spans="19:26" x14ac:dyDescent="0.25">
      <c r="S1029" s="2"/>
      <c r="T1029" s="2"/>
      <c r="U1029" s="2"/>
      <c r="V1029" s="2"/>
      <c r="W1029" s="2"/>
      <c r="X1029" s="2"/>
      <c r="Y1029" s="2"/>
      <c r="Z1029" s="2"/>
    </row>
    <row r="1030" spans="19:26" x14ac:dyDescent="0.25">
      <c r="S1030" s="2"/>
      <c r="T1030" s="2"/>
      <c r="U1030" s="2"/>
      <c r="V1030" s="2"/>
      <c r="W1030" s="2"/>
      <c r="X1030" s="2"/>
      <c r="Y1030" s="2"/>
      <c r="Z1030" s="2"/>
    </row>
    <row r="1031" spans="19:26" x14ac:dyDescent="0.25">
      <c r="S1031" s="2"/>
      <c r="T1031" s="2"/>
      <c r="U1031" s="2"/>
      <c r="V1031" s="2"/>
      <c r="W1031" s="2"/>
      <c r="X1031" s="2"/>
      <c r="Y1031" s="2"/>
      <c r="Z1031" s="2"/>
    </row>
    <row r="1032" spans="19:26" x14ac:dyDescent="0.25">
      <c r="S1032" s="2"/>
      <c r="T1032" s="2"/>
      <c r="U1032" s="2"/>
      <c r="V1032" s="2"/>
      <c r="W1032" s="2"/>
      <c r="X1032" s="2"/>
      <c r="Y1032" s="2"/>
      <c r="Z1032" s="2"/>
    </row>
    <row r="1033" spans="19:26" x14ac:dyDescent="0.25">
      <c r="S1033" s="2"/>
      <c r="T1033" s="2"/>
      <c r="U1033" s="2"/>
      <c r="V1033" s="2"/>
      <c r="W1033" s="2"/>
      <c r="X1033" s="2"/>
      <c r="Y1033" s="2"/>
      <c r="Z1033" s="2"/>
    </row>
    <row r="1034" spans="19:26" x14ac:dyDescent="0.25">
      <c r="S1034" s="2"/>
      <c r="T1034" s="2"/>
      <c r="U1034" s="2"/>
      <c r="V1034" s="2"/>
      <c r="W1034" s="2"/>
      <c r="X1034" s="2"/>
      <c r="Y1034" s="2"/>
      <c r="Z1034" s="2"/>
    </row>
    <row r="1035" spans="19:26" x14ac:dyDescent="0.25">
      <c r="S1035" s="2"/>
      <c r="T1035" s="2"/>
      <c r="U1035" s="2"/>
      <c r="V1035" s="2"/>
      <c r="W1035" s="2"/>
      <c r="X1035" s="2"/>
      <c r="Y1035" s="2"/>
      <c r="Z1035" s="2"/>
    </row>
    <row r="1036" spans="19:26" x14ac:dyDescent="0.25">
      <c r="S1036" s="2"/>
      <c r="T1036" s="2"/>
      <c r="U1036" s="2"/>
      <c r="V1036" s="2"/>
      <c r="W1036" s="2"/>
      <c r="X1036" s="2"/>
      <c r="Y1036" s="2"/>
      <c r="Z1036" s="2"/>
    </row>
    <row r="1037" spans="19:26" x14ac:dyDescent="0.25">
      <c r="S1037" s="2"/>
      <c r="T1037" s="2"/>
      <c r="U1037" s="2"/>
      <c r="V1037" s="2"/>
      <c r="W1037" s="2"/>
      <c r="X1037" s="2"/>
      <c r="Y1037" s="2"/>
      <c r="Z1037" s="2"/>
    </row>
    <row r="1038" spans="19:26" x14ac:dyDescent="0.25">
      <c r="S1038" s="2"/>
      <c r="T1038" s="2"/>
      <c r="U1038" s="2"/>
      <c r="V1038" s="2"/>
      <c r="W1038" s="2"/>
      <c r="X1038" s="2"/>
      <c r="Y1038" s="2"/>
      <c r="Z1038" s="2"/>
    </row>
    <row r="1039" spans="19:26" x14ac:dyDescent="0.25">
      <c r="S1039" s="2"/>
      <c r="T1039" s="2"/>
      <c r="U1039" s="2"/>
      <c r="V1039" s="2"/>
      <c r="W1039" s="2"/>
      <c r="X1039" s="2"/>
      <c r="Y1039" s="2"/>
      <c r="Z1039" s="2"/>
    </row>
    <row r="1040" spans="19:26" x14ac:dyDescent="0.25">
      <c r="S1040" s="2"/>
      <c r="T1040" s="2"/>
      <c r="U1040" s="2"/>
      <c r="V1040" s="2"/>
      <c r="W1040" s="2"/>
      <c r="X1040" s="2"/>
      <c r="Y1040" s="2"/>
      <c r="Z1040" s="2"/>
    </row>
    <row r="1041" spans="19:26" x14ac:dyDescent="0.25">
      <c r="S1041" s="2"/>
      <c r="T1041" s="2"/>
      <c r="U1041" s="2"/>
      <c r="V1041" s="2"/>
      <c r="W1041" s="2"/>
      <c r="X1041" s="2"/>
      <c r="Y1041" s="2"/>
      <c r="Z1041" s="2"/>
    </row>
    <row r="1042" spans="19:26" x14ac:dyDescent="0.25">
      <c r="S1042" s="2"/>
      <c r="T1042" s="2"/>
      <c r="U1042" s="2"/>
      <c r="V1042" s="2"/>
      <c r="W1042" s="2"/>
      <c r="X1042" s="2"/>
      <c r="Y1042" s="2"/>
      <c r="Z1042" s="2"/>
    </row>
    <row r="1043" spans="19:26" x14ac:dyDescent="0.25">
      <c r="S1043" s="2"/>
      <c r="T1043" s="2"/>
      <c r="U1043" s="2"/>
      <c r="V1043" s="2"/>
      <c r="W1043" s="2"/>
      <c r="X1043" s="2"/>
      <c r="Y1043" s="2"/>
      <c r="Z1043" s="2"/>
    </row>
    <row r="1044" spans="19:26" x14ac:dyDescent="0.25">
      <c r="S1044" s="2"/>
      <c r="T1044" s="2"/>
      <c r="U1044" s="2"/>
      <c r="V1044" s="2"/>
      <c r="W1044" s="2"/>
      <c r="X1044" s="2"/>
      <c r="Y1044" s="2"/>
      <c r="Z1044" s="2"/>
    </row>
    <row r="1045" spans="19:26" x14ac:dyDescent="0.25">
      <c r="S1045" s="2"/>
      <c r="T1045" s="2"/>
      <c r="U1045" s="2"/>
      <c r="V1045" s="2"/>
      <c r="W1045" s="2"/>
      <c r="X1045" s="2"/>
      <c r="Y1045" s="2"/>
      <c r="Z1045" s="2"/>
    </row>
    <row r="1046" spans="19:26" x14ac:dyDescent="0.25">
      <c r="S1046" s="2"/>
      <c r="T1046" s="2"/>
      <c r="U1046" s="2"/>
      <c r="V1046" s="2"/>
      <c r="W1046" s="2"/>
      <c r="X1046" s="2"/>
      <c r="Y1046" s="2"/>
      <c r="Z1046" s="2"/>
    </row>
    <row r="1047" spans="19:26" x14ac:dyDescent="0.25">
      <c r="S1047" s="2"/>
      <c r="T1047" s="2"/>
      <c r="U1047" s="2"/>
      <c r="V1047" s="2"/>
      <c r="W1047" s="2"/>
      <c r="X1047" s="2"/>
      <c r="Y1047" s="2"/>
      <c r="Z1047" s="2"/>
    </row>
    <row r="1048" spans="19:26" x14ac:dyDescent="0.25">
      <c r="S1048" s="2"/>
      <c r="T1048" s="2"/>
      <c r="U1048" s="2"/>
      <c r="V1048" s="2"/>
      <c r="W1048" s="2"/>
      <c r="X1048" s="2"/>
      <c r="Y1048" s="2"/>
      <c r="Z1048" s="2"/>
    </row>
    <row r="1049" spans="19:26" x14ac:dyDescent="0.25">
      <c r="S1049" s="2"/>
      <c r="T1049" s="2"/>
      <c r="U1049" s="2"/>
      <c r="V1049" s="2"/>
      <c r="W1049" s="2"/>
      <c r="X1049" s="2"/>
      <c r="Y1049" s="2"/>
      <c r="Z1049" s="2"/>
    </row>
    <row r="1050" spans="19:26" x14ac:dyDescent="0.25">
      <c r="S1050" s="2"/>
      <c r="T1050" s="2"/>
      <c r="U1050" s="2"/>
      <c r="V1050" s="2"/>
      <c r="W1050" s="2"/>
      <c r="X1050" s="2"/>
      <c r="Y1050" s="2"/>
      <c r="Z1050" s="2"/>
    </row>
    <row r="1051" spans="19:26" x14ac:dyDescent="0.25">
      <c r="S1051" s="2"/>
      <c r="T1051" s="2"/>
      <c r="U1051" s="2"/>
      <c r="V1051" s="2"/>
      <c r="W1051" s="2"/>
      <c r="X1051" s="2"/>
      <c r="Y1051" s="2"/>
      <c r="Z1051" s="2"/>
    </row>
    <row r="1052" spans="19:26" x14ac:dyDescent="0.25">
      <c r="S1052" s="2"/>
      <c r="T1052" s="2"/>
      <c r="U1052" s="2"/>
      <c r="V1052" s="2"/>
      <c r="W1052" s="2"/>
      <c r="X1052" s="2"/>
      <c r="Y1052" s="2"/>
      <c r="Z1052" s="2"/>
    </row>
    <row r="1053" spans="19:26" x14ac:dyDescent="0.25">
      <c r="S1053" s="2"/>
      <c r="T1053" s="2"/>
      <c r="U1053" s="2"/>
      <c r="V1053" s="2"/>
      <c r="W1053" s="2"/>
      <c r="X1053" s="2"/>
      <c r="Y1053" s="2"/>
      <c r="Z1053" s="2"/>
    </row>
    <row r="1054" spans="19:26" x14ac:dyDescent="0.25">
      <c r="S1054" s="2"/>
      <c r="T1054" s="2"/>
      <c r="U1054" s="2"/>
      <c r="V1054" s="2"/>
      <c r="W1054" s="2"/>
      <c r="X1054" s="2"/>
      <c r="Y1054" s="2"/>
      <c r="Z1054" s="2"/>
    </row>
    <row r="1055" spans="19:26" x14ac:dyDescent="0.25">
      <c r="S1055" s="2"/>
      <c r="T1055" s="2"/>
      <c r="U1055" s="2"/>
      <c r="V1055" s="2"/>
      <c r="W1055" s="2"/>
      <c r="X1055" s="2"/>
      <c r="Y1055" s="2"/>
      <c r="Z1055" s="2"/>
    </row>
    <row r="1056" spans="19:26" x14ac:dyDescent="0.25">
      <c r="S1056" s="2"/>
      <c r="T1056" s="2"/>
      <c r="U1056" s="2"/>
      <c r="V1056" s="2"/>
      <c r="W1056" s="2"/>
      <c r="X1056" s="2"/>
      <c r="Y1056" s="2"/>
      <c r="Z1056" s="2"/>
    </row>
    <row r="1057" spans="19:26" x14ac:dyDescent="0.25">
      <c r="S1057" s="2"/>
      <c r="T1057" s="2"/>
      <c r="U1057" s="2"/>
      <c r="V1057" s="2"/>
      <c r="W1057" s="2"/>
      <c r="X1057" s="2"/>
      <c r="Y1057" s="2"/>
      <c r="Z1057" s="2"/>
    </row>
    <row r="1058" spans="19:26" x14ac:dyDescent="0.25">
      <c r="S1058" s="2"/>
      <c r="T1058" s="2"/>
      <c r="U1058" s="2"/>
      <c r="V1058" s="2"/>
      <c r="W1058" s="2"/>
      <c r="X1058" s="2"/>
      <c r="Y1058" s="2"/>
      <c r="Z1058" s="2"/>
    </row>
    <row r="1059" spans="19:26" x14ac:dyDescent="0.25">
      <c r="S1059" s="2"/>
      <c r="T1059" s="2"/>
      <c r="U1059" s="2"/>
      <c r="V1059" s="2"/>
      <c r="W1059" s="2"/>
      <c r="X1059" s="2"/>
      <c r="Y1059" s="2"/>
      <c r="Z1059" s="2"/>
    </row>
    <row r="1060" spans="19:26" x14ac:dyDescent="0.25">
      <c r="S1060" s="2"/>
      <c r="T1060" s="2"/>
      <c r="U1060" s="2"/>
      <c r="V1060" s="2"/>
      <c r="W1060" s="2"/>
      <c r="X1060" s="2"/>
      <c r="Y1060" s="2"/>
      <c r="Z1060" s="2"/>
    </row>
    <row r="1061" spans="19:26" x14ac:dyDescent="0.25">
      <c r="S1061" s="2"/>
      <c r="T1061" s="2"/>
      <c r="U1061" s="2"/>
      <c r="V1061" s="2"/>
      <c r="W1061" s="2"/>
      <c r="X1061" s="2"/>
      <c r="Y1061" s="2"/>
      <c r="Z1061" s="2"/>
    </row>
    <row r="1062" spans="19:26" x14ac:dyDescent="0.25">
      <c r="S1062" s="2"/>
      <c r="T1062" s="2"/>
      <c r="U1062" s="2"/>
      <c r="V1062" s="2"/>
      <c r="W1062" s="2"/>
      <c r="X1062" s="2"/>
      <c r="Y1062" s="2"/>
      <c r="Z1062" s="2"/>
    </row>
    <row r="1063" spans="19:26" x14ac:dyDescent="0.25">
      <c r="S1063" s="2"/>
      <c r="T1063" s="2"/>
      <c r="U1063" s="2"/>
      <c r="V1063" s="2"/>
      <c r="W1063" s="2"/>
      <c r="X1063" s="2"/>
      <c r="Y1063" s="2"/>
      <c r="Z1063" s="2"/>
    </row>
    <row r="1064" spans="19:26" x14ac:dyDescent="0.25">
      <c r="S1064" s="2"/>
      <c r="T1064" s="2"/>
      <c r="U1064" s="2"/>
      <c r="V1064" s="2"/>
      <c r="W1064" s="2"/>
      <c r="X1064" s="2"/>
      <c r="Y1064" s="2"/>
      <c r="Z1064" s="2"/>
    </row>
    <row r="1065" spans="19:26" x14ac:dyDescent="0.25">
      <c r="S1065" s="2"/>
      <c r="T1065" s="2"/>
      <c r="U1065" s="2"/>
      <c r="V1065" s="2"/>
      <c r="W1065" s="2"/>
      <c r="X1065" s="2"/>
      <c r="Y1065" s="2"/>
      <c r="Z1065" s="2"/>
    </row>
    <row r="1066" spans="19:26" x14ac:dyDescent="0.25">
      <c r="S1066" s="2"/>
      <c r="T1066" s="2"/>
      <c r="U1066" s="2"/>
      <c r="V1066" s="2"/>
      <c r="W1066" s="2"/>
      <c r="X1066" s="2"/>
      <c r="Y1066" s="2"/>
      <c r="Z1066" s="2"/>
    </row>
    <row r="1067" spans="19:26" x14ac:dyDescent="0.25">
      <c r="S1067" s="2"/>
      <c r="T1067" s="2"/>
      <c r="U1067" s="2"/>
      <c r="V1067" s="2"/>
      <c r="W1067" s="2"/>
      <c r="X1067" s="2"/>
      <c r="Y1067" s="2"/>
      <c r="Z1067" s="2"/>
    </row>
    <row r="1068" spans="19:26" x14ac:dyDescent="0.25">
      <c r="S1068" s="2"/>
      <c r="T1068" s="2"/>
      <c r="U1068" s="2"/>
      <c r="V1068" s="2"/>
      <c r="W1068" s="2"/>
      <c r="X1068" s="2"/>
      <c r="Y1068" s="2"/>
      <c r="Z1068" s="2"/>
    </row>
    <row r="1069" spans="19:26" x14ac:dyDescent="0.25">
      <c r="S1069" s="2"/>
      <c r="T1069" s="2"/>
      <c r="U1069" s="2"/>
      <c r="V1069" s="2"/>
      <c r="W1069" s="2"/>
      <c r="X1069" s="2"/>
      <c r="Y1069" s="2"/>
      <c r="Z1069" s="2"/>
    </row>
    <row r="1070" spans="19:26" x14ac:dyDescent="0.25">
      <c r="S1070" s="2"/>
      <c r="T1070" s="2"/>
      <c r="U1070" s="2"/>
      <c r="V1070" s="2"/>
      <c r="W1070" s="2"/>
      <c r="X1070" s="2"/>
      <c r="Y1070" s="2"/>
      <c r="Z1070" s="2"/>
    </row>
    <row r="1071" spans="19:26" x14ac:dyDescent="0.25">
      <c r="S1071" s="2"/>
      <c r="T1071" s="2"/>
      <c r="U1071" s="2"/>
      <c r="V1071" s="2"/>
      <c r="W1071" s="2"/>
      <c r="X1071" s="2"/>
      <c r="Y1071" s="2"/>
      <c r="Z1071" s="2"/>
    </row>
    <row r="1072" spans="19:26" x14ac:dyDescent="0.25">
      <c r="S1072" s="2"/>
      <c r="T1072" s="2"/>
      <c r="U1072" s="2"/>
      <c r="V1072" s="2"/>
      <c r="W1072" s="2"/>
      <c r="X1072" s="2"/>
      <c r="Y1072" s="2"/>
      <c r="Z1072" s="2"/>
    </row>
    <row r="1073" spans="19:26" x14ac:dyDescent="0.25">
      <c r="S1073" s="2"/>
      <c r="T1073" s="2"/>
      <c r="U1073" s="2"/>
      <c r="V1073" s="2"/>
      <c r="W1073" s="2"/>
      <c r="X1073" s="2"/>
      <c r="Y1073" s="2"/>
      <c r="Z1073" s="2"/>
    </row>
    <row r="1074" spans="19:26" x14ac:dyDescent="0.25">
      <c r="S1074" s="2"/>
      <c r="T1074" s="2"/>
      <c r="U1074" s="2"/>
      <c r="V1074" s="2"/>
      <c r="W1074" s="2"/>
      <c r="X1074" s="2"/>
      <c r="Y1074" s="2"/>
      <c r="Z1074" s="2"/>
    </row>
    <row r="1075" spans="19:26" x14ac:dyDescent="0.25">
      <c r="S1075" s="2"/>
      <c r="T1075" s="2"/>
      <c r="U1075" s="2"/>
      <c r="V1075" s="2"/>
      <c r="W1075" s="2"/>
      <c r="X1075" s="2"/>
      <c r="Y1075" s="2"/>
      <c r="Z1075" s="2"/>
    </row>
    <row r="1076" spans="19:26" x14ac:dyDescent="0.25">
      <c r="S1076" s="2"/>
      <c r="T1076" s="2"/>
      <c r="U1076" s="2"/>
      <c r="V1076" s="2"/>
      <c r="W1076" s="2"/>
      <c r="X1076" s="2"/>
      <c r="Y1076" s="2"/>
      <c r="Z1076" s="2"/>
    </row>
    <row r="1077" spans="19:26" x14ac:dyDescent="0.25">
      <c r="S1077" s="2"/>
      <c r="T1077" s="2"/>
      <c r="U1077" s="2"/>
      <c r="V1077" s="2"/>
      <c r="W1077" s="2"/>
      <c r="X1077" s="2"/>
      <c r="Y1077" s="2"/>
      <c r="Z1077" s="2"/>
    </row>
    <row r="1078" spans="19:26" x14ac:dyDescent="0.25">
      <c r="S1078" s="2"/>
      <c r="T1078" s="2"/>
      <c r="U1078" s="2"/>
      <c r="V1078" s="2"/>
      <c r="W1078" s="2"/>
      <c r="X1078" s="2"/>
      <c r="Y1078" s="2"/>
      <c r="Z1078" s="2"/>
    </row>
    <row r="1079" spans="19:26" x14ac:dyDescent="0.25">
      <c r="S1079" s="2"/>
      <c r="T1079" s="2"/>
      <c r="U1079" s="2"/>
      <c r="V1079" s="2"/>
      <c r="W1079" s="2"/>
      <c r="X1079" s="2"/>
      <c r="Y1079" s="2"/>
      <c r="Z1079" s="2"/>
    </row>
    <row r="1080" spans="19:26" x14ac:dyDescent="0.25">
      <c r="S1080" s="2"/>
      <c r="T1080" s="2"/>
      <c r="U1080" s="2"/>
      <c r="V1080" s="2"/>
      <c r="W1080" s="2"/>
      <c r="X1080" s="2"/>
      <c r="Y1080" s="2"/>
      <c r="Z1080" s="2"/>
    </row>
    <row r="1081" spans="19:26" x14ac:dyDescent="0.25">
      <c r="S1081" s="2"/>
      <c r="T1081" s="2"/>
      <c r="U1081" s="2"/>
      <c r="V1081" s="2"/>
      <c r="W1081" s="2"/>
      <c r="X1081" s="2"/>
      <c r="Y1081" s="2"/>
      <c r="Z1081" s="2"/>
    </row>
    <row r="1082" spans="19:26" x14ac:dyDescent="0.25">
      <c r="S1082" s="2"/>
      <c r="T1082" s="2"/>
      <c r="U1082" s="2"/>
      <c r="V1082" s="2"/>
      <c r="W1082" s="2"/>
      <c r="X1082" s="2"/>
      <c r="Y1082" s="2"/>
      <c r="Z1082" s="2"/>
    </row>
    <row r="1083" spans="19:26" x14ac:dyDescent="0.25">
      <c r="S1083" s="2"/>
      <c r="T1083" s="2"/>
      <c r="U1083" s="2"/>
      <c r="V1083" s="2"/>
      <c r="W1083" s="2"/>
      <c r="X1083" s="2"/>
      <c r="Y1083" s="2"/>
      <c r="Z1083" s="2"/>
    </row>
    <row r="1084" spans="19:26" x14ac:dyDescent="0.25">
      <c r="S1084" s="2"/>
      <c r="T1084" s="2"/>
      <c r="U1084" s="2"/>
      <c r="V1084" s="2"/>
      <c r="W1084" s="2"/>
      <c r="X1084" s="2"/>
      <c r="Y1084" s="2"/>
      <c r="Z1084" s="2"/>
    </row>
    <row r="1085" spans="19:26" x14ac:dyDescent="0.25">
      <c r="S1085" s="2"/>
      <c r="T1085" s="2"/>
      <c r="U1085" s="2"/>
      <c r="V1085" s="2"/>
      <c r="W1085" s="2"/>
      <c r="X1085" s="2"/>
      <c r="Y1085" s="2"/>
      <c r="Z1085" s="2"/>
    </row>
    <row r="1086" spans="19:26" x14ac:dyDescent="0.25">
      <c r="S1086" s="2"/>
      <c r="T1086" s="2"/>
      <c r="U1086" s="2"/>
      <c r="V1086" s="2"/>
      <c r="W1086" s="2"/>
      <c r="X1086" s="2"/>
      <c r="Y1086" s="2"/>
      <c r="Z1086" s="2"/>
    </row>
    <row r="1087" spans="19:26" x14ac:dyDescent="0.25">
      <c r="S1087" s="2"/>
      <c r="T1087" s="2"/>
      <c r="U1087" s="2"/>
      <c r="V1087" s="2"/>
      <c r="W1087" s="2"/>
      <c r="X1087" s="2"/>
      <c r="Y1087" s="2"/>
      <c r="Z1087" s="2"/>
    </row>
    <row r="1088" spans="19:26" x14ac:dyDescent="0.25">
      <c r="S1088" s="2"/>
      <c r="T1088" s="2"/>
      <c r="U1088" s="2"/>
      <c r="V1088" s="2"/>
      <c r="W1088" s="2"/>
      <c r="X1088" s="2"/>
      <c r="Y1088" s="2"/>
      <c r="Z1088" s="2"/>
    </row>
    <row r="1089" spans="19:26" x14ac:dyDescent="0.25">
      <c r="S1089" s="2"/>
      <c r="T1089" s="2"/>
      <c r="U1089" s="2"/>
      <c r="V1089" s="2"/>
      <c r="W1089" s="2"/>
      <c r="X1089" s="2"/>
      <c r="Y1089" s="2"/>
      <c r="Z1089" s="2"/>
    </row>
    <row r="1090" spans="19:26" x14ac:dyDescent="0.25">
      <c r="S1090" s="2"/>
      <c r="T1090" s="2"/>
      <c r="U1090" s="2"/>
      <c r="V1090" s="2"/>
      <c r="W1090" s="2"/>
      <c r="X1090" s="2"/>
      <c r="Y1090" s="2"/>
      <c r="Z1090" s="2"/>
    </row>
    <row r="1091" spans="19:26" x14ac:dyDescent="0.25">
      <c r="S1091" s="2"/>
      <c r="T1091" s="2"/>
      <c r="U1091" s="2"/>
      <c r="V1091" s="2"/>
      <c r="W1091" s="2"/>
      <c r="X1091" s="2"/>
      <c r="Y1091" s="2"/>
      <c r="Z1091" s="2"/>
    </row>
    <row r="1092" spans="19:26" x14ac:dyDescent="0.25">
      <c r="S1092" s="2"/>
      <c r="T1092" s="2"/>
      <c r="U1092" s="2"/>
      <c r="V1092" s="2"/>
      <c r="W1092" s="2"/>
      <c r="X1092" s="2"/>
      <c r="Y1092" s="2"/>
      <c r="Z1092" s="2"/>
    </row>
    <row r="1093" spans="19:26" x14ac:dyDescent="0.25">
      <c r="S1093" s="2"/>
      <c r="T1093" s="2"/>
      <c r="U1093" s="2"/>
      <c r="V1093" s="2"/>
      <c r="W1093" s="2"/>
      <c r="X1093" s="2"/>
      <c r="Y1093" s="2"/>
      <c r="Z1093" s="2"/>
    </row>
    <row r="1094" spans="19:26" x14ac:dyDescent="0.25">
      <c r="S1094" s="2"/>
      <c r="T1094" s="2"/>
      <c r="U1094" s="2"/>
      <c r="V1094" s="2"/>
      <c r="W1094" s="2"/>
      <c r="X1094" s="2"/>
      <c r="Y1094" s="2"/>
      <c r="Z1094" s="2"/>
    </row>
    <row r="1095" spans="19:26" x14ac:dyDescent="0.25">
      <c r="S1095" s="2"/>
      <c r="T1095" s="2"/>
      <c r="U1095" s="2"/>
      <c r="V1095" s="2"/>
      <c r="W1095" s="2"/>
      <c r="X1095" s="2"/>
      <c r="Y1095" s="2"/>
      <c r="Z1095" s="2"/>
    </row>
    <row r="1096" spans="19:26" x14ac:dyDescent="0.25">
      <c r="S1096" s="2"/>
      <c r="T1096" s="2"/>
      <c r="U1096" s="2"/>
      <c r="V1096" s="2"/>
      <c r="W1096" s="2"/>
      <c r="X1096" s="2"/>
      <c r="Y1096" s="2"/>
      <c r="Z1096" s="2"/>
    </row>
    <row r="1097" spans="19:26" x14ac:dyDescent="0.25">
      <c r="S1097" s="2"/>
      <c r="T1097" s="2"/>
      <c r="U1097" s="2"/>
      <c r="V1097" s="2"/>
      <c r="W1097" s="2"/>
      <c r="X1097" s="2"/>
      <c r="Y1097" s="2"/>
      <c r="Z1097" s="2"/>
    </row>
    <row r="1098" spans="19:26" x14ac:dyDescent="0.25">
      <c r="S1098" s="2"/>
      <c r="T1098" s="2"/>
      <c r="U1098" s="2"/>
      <c r="V1098" s="2"/>
      <c r="W1098" s="2"/>
      <c r="X1098" s="2"/>
      <c r="Y1098" s="2"/>
      <c r="Z1098" s="2"/>
    </row>
    <row r="1099" spans="19:26" x14ac:dyDescent="0.25">
      <c r="S1099" s="2"/>
      <c r="T1099" s="2"/>
      <c r="U1099" s="2"/>
      <c r="V1099" s="2"/>
      <c r="W1099" s="2"/>
      <c r="X1099" s="2"/>
      <c r="Y1099" s="2"/>
      <c r="Z1099" s="2"/>
    </row>
    <row r="1100" spans="19:26" x14ac:dyDescent="0.25">
      <c r="S1100" s="2"/>
      <c r="T1100" s="2"/>
      <c r="U1100" s="2"/>
      <c r="V1100" s="2"/>
      <c r="W1100" s="2"/>
      <c r="X1100" s="2"/>
      <c r="Y1100" s="2"/>
      <c r="Z1100" s="2"/>
    </row>
    <row r="1101" spans="19:26" x14ac:dyDescent="0.25">
      <c r="S1101" s="2"/>
      <c r="T1101" s="2"/>
      <c r="U1101" s="2"/>
      <c r="V1101" s="2"/>
      <c r="W1101" s="2"/>
      <c r="X1101" s="2"/>
      <c r="Y1101" s="2"/>
      <c r="Z1101" s="2"/>
    </row>
    <row r="1102" spans="19:26" x14ac:dyDescent="0.25">
      <c r="S1102" s="2"/>
      <c r="T1102" s="2"/>
      <c r="U1102" s="2"/>
      <c r="V1102" s="2"/>
      <c r="W1102" s="2"/>
      <c r="X1102" s="2"/>
      <c r="Y1102" s="2"/>
      <c r="Z1102" s="2"/>
    </row>
    <row r="1103" spans="19:26" x14ac:dyDescent="0.25">
      <c r="S1103" s="2"/>
      <c r="T1103" s="2"/>
      <c r="U1103" s="2"/>
      <c r="V1103" s="2"/>
      <c r="W1103" s="2"/>
      <c r="X1103" s="2"/>
      <c r="Y1103" s="2"/>
      <c r="Z1103" s="2"/>
    </row>
    <row r="1104" spans="19:26" x14ac:dyDescent="0.25">
      <c r="S1104" s="2"/>
      <c r="T1104" s="2"/>
      <c r="U1104" s="2"/>
      <c r="V1104" s="2"/>
      <c r="W1104" s="2"/>
      <c r="X1104" s="2"/>
      <c r="Y1104" s="2"/>
      <c r="Z1104" s="2"/>
    </row>
    <row r="1105" spans="19:26" x14ac:dyDescent="0.25">
      <c r="S1105" s="2"/>
      <c r="T1105" s="2"/>
      <c r="U1105" s="2"/>
      <c r="V1105" s="2"/>
      <c r="W1105" s="2"/>
      <c r="X1105" s="2"/>
      <c r="Y1105" s="2"/>
      <c r="Z1105" s="2"/>
    </row>
    <row r="1106" spans="19:26" x14ac:dyDescent="0.25">
      <c r="S1106" s="2"/>
      <c r="T1106" s="2"/>
      <c r="U1106" s="2"/>
      <c r="V1106" s="2"/>
      <c r="W1106" s="2"/>
      <c r="X1106" s="2"/>
      <c r="Y1106" s="2"/>
      <c r="Z1106" s="2"/>
    </row>
    <row r="1107" spans="19:26" x14ac:dyDescent="0.25">
      <c r="S1107" s="2"/>
      <c r="T1107" s="2"/>
      <c r="U1107" s="2"/>
      <c r="V1107" s="2"/>
      <c r="W1107" s="2"/>
      <c r="X1107" s="2"/>
      <c r="Y1107" s="2"/>
      <c r="Z1107" s="2"/>
    </row>
    <row r="1108" spans="19:26" x14ac:dyDescent="0.25">
      <c r="S1108" s="2"/>
      <c r="T1108" s="2"/>
      <c r="U1108" s="2"/>
      <c r="V1108" s="2"/>
      <c r="W1108" s="2"/>
      <c r="X1108" s="2"/>
      <c r="Y1108" s="2"/>
      <c r="Z1108" s="2"/>
    </row>
    <row r="1109" spans="19:26" x14ac:dyDescent="0.25">
      <c r="S1109" s="2"/>
      <c r="T1109" s="2"/>
      <c r="U1109" s="2"/>
      <c r="V1109" s="2"/>
      <c r="W1109" s="2"/>
      <c r="X1109" s="2"/>
      <c r="Y1109" s="2"/>
      <c r="Z1109" s="2"/>
    </row>
    <row r="1110" spans="19:26" x14ac:dyDescent="0.25">
      <c r="S1110" s="2"/>
      <c r="T1110" s="2"/>
      <c r="U1110" s="2"/>
      <c r="V1110" s="2"/>
      <c r="W1110" s="2"/>
      <c r="X1110" s="2"/>
      <c r="Y1110" s="2"/>
      <c r="Z1110" s="2"/>
    </row>
    <row r="1111" spans="19:26" x14ac:dyDescent="0.25">
      <c r="S1111" s="2"/>
      <c r="T1111" s="2"/>
      <c r="U1111" s="2"/>
      <c r="V1111" s="2"/>
      <c r="W1111" s="2"/>
      <c r="X1111" s="2"/>
      <c r="Y1111" s="2"/>
      <c r="Z1111" s="2"/>
    </row>
    <row r="1112" spans="19:26" x14ac:dyDescent="0.25">
      <c r="S1112" s="2"/>
      <c r="T1112" s="2"/>
      <c r="U1112" s="2"/>
      <c r="V1112" s="2"/>
      <c r="W1112" s="2"/>
      <c r="X1112" s="2"/>
      <c r="Y1112" s="2"/>
      <c r="Z1112" s="2"/>
    </row>
    <row r="1113" spans="19:26" x14ac:dyDescent="0.25">
      <c r="S1113" s="2"/>
      <c r="T1113" s="2"/>
      <c r="U1113" s="2"/>
      <c r="V1113" s="2"/>
      <c r="W1113" s="2"/>
      <c r="X1113" s="2"/>
      <c r="Y1113" s="2"/>
      <c r="Z1113" s="2"/>
    </row>
    <row r="1114" spans="19:26" x14ac:dyDescent="0.25">
      <c r="S1114" s="2"/>
      <c r="T1114" s="2"/>
      <c r="U1114" s="2"/>
      <c r="V1114" s="2"/>
      <c r="W1114" s="2"/>
      <c r="X1114" s="2"/>
      <c r="Y1114" s="2"/>
      <c r="Z1114" s="2"/>
    </row>
    <row r="1115" spans="19:26" x14ac:dyDescent="0.25">
      <c r="S1115" s="2"/>
      <c r="T1115" s="2"/>
      <c r="U1115" s="2"/>
      <c r="V1115" s="2"/>
      <c r="W1115" s="2"/>
      <c r="X1115" s="2"/>
      <c r="Y1115" s="2"/>
      <c r="Z1115" s="2"/>
    </row>
    <row r="1116" spans="19:26" x14ac:dyDescent="0.25">
      <c r="S1116" s="2"/>
      <c r="T1116" s="2"/>
      <c r="U1116" s="2"/>
      <c r="V1116" s="2"/>
      <c r="W1116" s="2"/>
      <c r="X1116" s="2"/>
      <c r="Y1116" s="2"/>
      <c r="Z1116" s="2"/>
    </row>
    <row r="1117" spans="19:26" x14ac:dyDescent="0.25">
      <c r="S1117" s="2"/>
      <c r="T1117" s="2"/>
      <c r="U1117" s="2"/>
      <c r="V1117" s="2"/>
      <c r="W1117" s="2"/>
      <c r="X1117" s="2"/>
      <c r="Y1117" s="2"/>
      <c r="Z1117" s="2"/>
    </row>
    <row r="1118" spans="19:26" x14ac:dyDescent="0.25">
      <c r="S1118" s="2"/>
      <c r="T1118" s="2"/>
      <c r="U1118" s="2"/>
      <c r="V1118" s="2"/>
      <c r="W1118" s="2"/>
      <c r="X1118" s="2"/>
      <c r="Y1118" s="2"/>
      <c r="Z1118" s="2"/>
    </row>
    <row r="1119" spans="19:26" x14ac:dyDescent="0.25">
      <c r="S1119" s="2"/>
      <c r="T1119" s="2"/>
      <c r="U1119" s="2"/>
      <c r="V1119" s="2"/>
      <c r="W1119" s="2"/>
      <c r="X1119" s="2"/>
      <c r="Y1119" s="2"/>
      <c r="Z1119" s="2"/>
    </row>
    <row r="1120" spans="19:26" x14ac:dyDescent="0.25">
      <c r="S1120" s="2"/>
      <c r="T1120" s="2"/>
      <c r="U1120" s="2"/>
      <c r="V1120" s="2"/>
      <c r="W1120" s="2"/>
      <c r="X1120" s="2"/>
      <c r="Y1120" s="2"/>
      <c r="Z1120" s="2"/>
    </row>
    <row r="1121" spans="19:26" x14ac:dyDescent="0.25">
      <c r="S1121" s="2"/>
      <c r="T1121" s="2"/>
      <c r="U1121" s="2"/>
      <c r="V1121" s="2"/>
      <c r="W1121" s="2"/>
      <c r="X1121" s="2"/>
      <c r="Y1121" s="2"/>
      <c r="Z1121" s="2"/>
    </row>
    <row r="1122" spans="19:26" x14ac:dyDescent="0.25">
      <c r="S1122" s="2"/>
      <c r="T1122" s="2"/>
      <c r="U1122" s="2"/>
      <c r="V1122" s="2"/>
      <c r="W1122" s="2"/>
      <c r="X1122" s="2"/>
      <c r="Y1122" s="2"/>
      <c r="Z1122" s="2"/>
    </row>
    <row r="1123" spans="19:26" x14ac:dyDescent="0.25">
      <c r="S1123" s="2"/>
      <c r="T1123" s="2"/>
      <c r="U1123" s="2"/>
      <c r="V1123" s="2"/>
      <c r="W1123" s="2"/>
      <c r="X1123" s="2"/>
      <c r="Y1123" s="2"/>
      <c r="Z1123" s="2"/>
    </row>
    <row r="1124" spans="19:26" x14ac:dyDescent="0.25">
      <c r="S1124" s="2"/>
      <c r="T1124" s="2"/>
      <c r="U1124" s="2"/>
      <c r="V1124" s="2"/>
      <c r="W1124" s="2"/>
      <c r="X1124" s="2"/>
      <c r="Y1124" s="2"/>
      <c r="Z1124" s="2"/>
    </row>
    <row r="1125" spans="19:26" x14ac:dyDescent="0.25">
      <c r="S1125" s="2"/>
      <c r="T1125" s="2"/>
      <c r="U1125" s="2"/>
      <c r="V1125" s="2"/>
      <c r="W1125" s="2"/>
      <c r="X1125" s="2"/>
      <c r="Y1125" s="2"/>
      <c r="Z1125" s="2"/>
    </row>
    <row r="1126" spans="19:26" x14ac:dyDescent="0.25">
      <c r="S1126" s="2"/>
      <c r="T1126" s="2"/>
      <c r="U1126" s="2"/>
      <c r="V1126" s="2"/>
      <c r="W1126" s="2"/>
      <c r="X1126" s="2"/>
      <c r="Y1126" s="2"/>
      <c r="Z1126" s="2"/>
    </row>
    <row r="1127" spans="19:26" x14ac:dyDescent="0.25">
      <c r="S1127" s="2"/>
      <c r="T1127" s="2"/>
      <c r="U1127" s="2"/>
      <c r="V1127" s="2"/>
      <c r="W1127" s="2"/>
      <c r="X1127" s="2"/>
      <c r="Y1127" s="2"/>
      <c r="Z1127" s="2"/>
    </row>
    <row r="1128" spans="19:26" x14ac:dyDescent="0.25">
      <c r="S1128" s="2"/>
      <c r="T1128" s="2"/>
      <c r="U1128" s="2"/>
      <c r="V1128" s="2"/>
      <c r="W1128" s="2"/>
      <c r="X1128" s="2"/>
      <c r="Y1128" s="2"/>
      <c r="Z1128" s="2"/>
    </row>
    <row r="1129" spans="19:26" x14ac:dyDescent="0.25">
      <c r="S1129" s="2"/>
      <c r="T1129" s="2"/>
      <c r="U1129" s="2"/>
      <c r="V1129" s="2"/>
      <c r="W1129" s="2"/>
      <c r="X1129" s="2"/>
      <c r="Y1129" s="2"/>
      <c r="Z1129" s="2"/>
    </row>
    <row r="1130" spans="19:26" x14ac:dyDescent="0.25">
      <c r="S1130" s="2"/>
      <c r="T1130" s="2"/>
      <c r="U1130" s="2"/>
      <c r="V1130" s="2"/>
      <c r="W1130" s="2"/>
      <c r="X1130" s="2"/>
      <c r="Y1130" s="2"/>
      <c r="Z1130" s="2"/>
    </row>
    <row r="1131" spans="19:26" x14ac:dyDescent="0.25">
      <c r="S1131" s="2"/>
      <c r="T1131" s="2"/>
      <c r="U1131" s="2"/>
      <c r="V1131" s="2"/>
      <c r="W1131" s="2"/>
      <c r="X1131" s="2"/>
      <c r="Y1131" s="2"/>
      <c r="Z1131" s="2"/>
    </row>
    <row r="1132" spans="19:26" x14ac:dyDescent="0.25">
      <c r="S1132" s="2"/>
      <c r="T1132" s="2"/>
      <c r="U1132" s="2"/>
      <c r="V1132" s="2"/>
      <c r="W1132" s="2"/>
      <c r="X1132" s="2"/>
      <c r="Y1132" s="2"/>
      <c r="Z1132" s="2"/>
    </row>
    <row r="1133" spans="19:26" x14ac:dyDescent="0.25">
      <c r="S1133" s="2"/>
      <c r="T1133" s="2"/>
      <c r="U1133" s="2"/>
      <c r="V1133" s="2"/>
      <c r="W1133" s="2"/>
      <c r="X1133" s="2"/>
      <c r="Y1133" s="2"/>
      <c r="Z1133" s="2"/>
    </row>
    <row r="1134" spans="19:26" x14ac:dyDescent="0.25">
      <c r="S1134" s="2"/>
      <c r="T1134" s="2"/>
      <c r="U1134" s="2"/>
      <c r="V1134" s="2"/>
      <c r="W1134" s="2"/>
      <c r="X1134" s="2"/>
      <c r="Y1134" s="2"/>
      <c r="Z1134" s="2"/>
    </row>
    <row r="1135" spans="19:26" x14ac:dyDescent="0.25">
      <c r="S1135" s="2"/>
      <c r="T1135" s="2"/>
      <c r="U1135" s="2"/>
      <c r="V1135" s="2"/>
      <c r="W1135" s="2"/>
      <c r="X1135" s="2"/>
      <c r="Y1135" s="2"/>
      <c r="Z1135" s="2"/>
    </row>
    <row r="1136" spans="19:26" x14ac:dyDescent="0.25">
      <c r="S1136" s="2"/>
      <c r="T1136" s="2"/>
      <c r="U1136" s="2"/>
      <c r="V1136" s="2"/>
      <c r="W1136" s="2"/>
      <c r="X1136" s="2"/>
      <c r="Y1136" s="2"/>
      <c r="Z1136" s="2"/>
    </row>
    <row r="1137" spans="19:26" x14ac:dyDescent="0.25">
      <c r="S1137" s="2"/>
      <c r="T1137" s="2"/>
      <c r="U1137" s="2"/>
      <c r="V1137" s="2"/>
      <c r="W1137" s="2"/>
      <c r="X1137" s="2"/>
      <c r="Y1137" s="2"/>
      <c r="Z1137" s="2"/>
    </row>
    <row r="1138" spans="19:26" x14ac:dyDescent="0.25">
      <c r="S1138" s="2"/>
      <c r="T1138" s="2"/>
      <c r="U1138" s="2"/>
      <c r="V1138" s="2"/>
      <c r="W1138" s="2"/>
      <c r="X1138" s="2"/>
      <c r="Y1138" s="2"/>
      <c r="Z1138" s="2"/>
    </row>
    <row r="1139" spans="19:26" x14ac:dyDescent="0.25">
      <c r="S1139" s="2"/>
      <c r="T1139" s="2"/>
      <c r="U1139" s="2"/>
      <c r="V1139" s="2"/>
      <c r="W1139" s="2"/>
      <c r="X1139" s="2"/>
      <c r="Y1139" s="2"/>
      <c r="Z1139" s="2"/>
    </row>
    <row r="1140" spans="19:26" x14ac:dyDescent="0.25">
      <c r="S1140" s="2"/>
      <c r="T1140" s="2"/>
      <c r="U1140" s="2"/>
      <c r="V1140" s="2"/>
      <c r="W1140" s="2"/>
      <c r="X1140" s="2"/>
      <c r="Y1140" s="2"/>
      <c r="Z1140" s="2"/>
    </row>
    <row r="1141" spans="19:26" x14ac:dyDescent="0.25">
      <c r="S1141" s="2"/>
      <c r="T1141" s="2"/>
      <c r="U1141" s="2"/>
      <c r="V1141" s="2"/>
      <c r="W1141" s="2"/>
      <c r="X1141" s="2"/>
      <c r="Y1141" s="2"/>
      <c r="Z1141" s="2"/>
    </row>
    <row r="1142" spans="19:26" x14ac:dyDescent="0.25">
      <c r="S1142" s="2"/>
      <c r="T1142" s="2"/>
      <c r="U1142" s="2"/>
      <c r="V1142" s="2"/>
      <c r="W1142" s="2"/>
      <c r="X1142" s="2"/>
      <c r="Y1142" s="2"/>
      <c r="Z1142" s="2"/>
    </row>
    <row r="1143" spans="19:26" x14ac:dyDescent="0.25">
      <c r="S1143" s="2"/>
      <c r="T1143" s="2"/>
      <c r="U1143" s="2"/>
      <c r="V1143" s="2"/>
      <c r="W1143" s="2"/>
      <c r="X1143" s="2"/>
      <c r="Y1143" s="2"/>
      <c r="Z1143" s="2"/>
    </row>
    <row r="1144" spans="19:26" x14ac:dyDescent="0.25">
      <c r="S1144" s="2"/>
      <c r="T1144" s="2"/>
      <c r="U1144" s="2"/>
      <c r="V1144" s="2"/>
      <c r="W1144" s="2"/>
      <c r="X1144" s="2"/>
      <c r="Y1144" s="2"/>
      <c r="Z1144" s="2"/>
    </row>
    <row r="1145" spans="19:26" x14ac:dyDescent="0.25">
      <c r="S1145" s="2"/>
      <c r="T1145" s="2"/>
      <c r="U1145" s="2"/>
      <c r="V1145" s="2"/>
      <c r="W1145" s="2"/>
      <c r="X1145" s="2"/>
      <c r="Y1145" s="2"/>
      <c r="Z1145" s="2"/>
    </row>
    <row r="1146" spans="19:26" x14ac:dyDescent="0.25">
      <c r="S1146" s="2"/>
      <c r="T1146" s="2"/>
      <c r="U1146" s="2"/>
      <c r="V1146" s="2"/>
      <c r="W1146" s="2"/>
      <c r="X1146" s="2"/>
      <c r="Y1146" s="2"/>
      <c r="Z1146" s="2"/>
    </row>
    <row r="1147" spans="19:26" x14ac:dyDescent="0.25">
      <c r="S1147" s="2"/>
      <c r="T1147" s="2"/>
      <c r="U1147" s="2"/>
      <c r="V1147" s="2"/>
      <c r="W1147" s="2"/>
      <c r="X1147" s="2"/>
      <c r="Y1147" s="2"/>
      <c r="Z1147" s="2"/>
    </row>
    <row r="1148" spans="19:26" x14ac:dyDescent="0.25">
      <c r="S1148" s="2"/>
      <c r="T1148" s="2"/>
      <c r="U1148" s="2"/>
      <c r="V1148" s="2"/>
      <c r="W1148" s="2"/>
      <c r="X1148" s="2"/>
      <c r="Y1148" s="2"/>
      <c r="Z1148" s="2"/>
    </row>
    <row r="1149" spans="19:26" x14ac:dyDescent="0.25">
      <c r="S1149" s="2"/>
      <c r="T1149" s="2"/>
      <c r="U1149" s="2"/>
      <c r="V1149" s="2"/>
      <c r="W1149" s="2"/>
      <c r="X1149" s="2"/>
      <c r="Y1149" s="2"/>
      <c r="Z1149" s="2"/>
    </row>
    <row r="1150" spans="19:26" x14ac:dyDescent="0.25">
      <c r="S1150" s="2"/>
      <c r="T1150" s="2"/>
      <c r="U1150" s="2"/>
      <c r="V1150" s="2"/>
      <c r="W1150" s="2"/>
      <c r="X1150" s="2"/>
      <c r="Y1150" s="2"/>
      <c r="Z1150" s="2"/>
    </row>
    <row r="1151" spans="19:26" x14ac:dyDescent="0.25">
      <c r="S1151" s="2"/>
      <c r="T1151" s="2"/>
      <c r="U1151" s="2"/>
      <c r="V1151" s="2"/>
      <c r="W1151" s="2"/>
      <c r="X1151" s="2"/>
      <c r="Y1151" s="2"/>
      <c r="Z1151" s="2"/>
    </row>
    <row r="1152" spans="19:26" x14ac:dyDescent="0.25">
      <c r="S1152" s="2"/>
      <c r="T1152" s="2"/>
      <c r="U1152" s="2"/>
      <c r="V1152" s="2"/>
      <c r="W1152" s="2"/>
      <c r="X1152" s="2"/>
      <c r="Y1152" s="2"/>
      <c r="Z1152" s="2"/>
    </row>
    <row r="1153" spans="19:26" x14ac:dyDescent="0.25">
      <c r="S1153" s="2"/>
      <c r="T1153" s="2"/>
      <c r="U1153" s="2"/>
      <c r="V1153" s="2"/>
      <c r="W1153" s="2"/>
      <c r="X1153" s="2"/>
      <c r="Y1153" s="2"/>
      <c r="Z1153" s="2"/>
    </row>
    <row r="1154" spans="19:26" x14ac:dyDescent="0.25">
      <c r="S1154" s="2"/>
      <c r="T1154" s="2"/>
      <c r="U1154" s="2"/>
      <c r="V1154" s="2"/>
      <c r="W1154" s="2"/>
      <c r="X1154" s="2"/>
      <c r="Y1154" s="2"/>
      <c r="Z1154" s="2"/>
    </row>
    <row r="1155" spans="19:26" x14ac:dyDescent="0.25">
      <c r="S1155" s="2"/>
      <c r="T1155" s="2"/>
      <c r="U1155" s="2"/>
      <c r="V1155" s="2"/>
      <c r="W1155" s="2"/>
      <c r="X1155" s="2"/>
      <c r="Y1155" s="2"/>
      <c r="Z1155" s="2"/>
    </row>
    <row r="1156" spans="19:26" x14ac:dyDescent="0.25">
      <c r="S1156" s="2"/>
      <c r="T1156" s="2"/>
      <c r="U1156" s="2"/>
      <c r="V1156" s="2"/>
      <c r="W1156" s="2"/>
      <c r="X1156" s="2"/>
      <c r="Y1156" s="2"/>
      <c r="Z1156" s="2"/>
    </row>
    <row r="1157" spans="19:26" x14ac:dyDescent="0.25">
      <c r="S1157" s="2"/>
      <c r="T1157" s="2"/>
      <c r="U1157" s="2"/>
      <c r="V1157" s="2"/>
      <c r="W1157" s="2"/>
      <c r="X1157" s="2"/>
      <c r="Y1157" s="2"/>
      <c r="Z1157" s="2"/>
    </row>
    <row r="1158" spans="19:26" x14ac:dyDescent="0.25">
      <c r="S1158" s="2"/>
      <c r="T1158" s="2"/>
      <c r="U1158" s="2"/>
      <c r="V1158" s="2"/>
      <c r="W1158" s="2"/>
      <c r="X1158" s="2"/>
      <c r="Y1158" s="2"/>
      <c r="Z1158" s="2"/>
    </row>
    <row r="1159" spans="19:26" x14ac:dyDescent="0.25">
      <c r="S1159" s="2"/>
      <c r="T1159" s="2"/>
      <c r="U1159" s="2"/>
      <c r="V1159" s="2"/>
      <c r="W1159" s="2"/>
      <c r="X1159" s="2"/>
      <c r="Y1159" s="2"/>
      <c r="Z1159" s="2"/>
    </row>
    <row r="1160" spans="19:26" x14ac:dyDescent="0.25">
      <c r="S1160" s="2"/>
      <c r="T1160" s="2"/>
      <c r="U1160" s="2"/>
      <c r="V1160" s="2"/>
      <c r="W1160" s="2"/>
      <c r="X1160" s="2"/>
      <c r="Y1160" s="2"/>
      <c r="Z1160" s="2"/>
    </row>
    <row r="1161" spans="19:26" x14ac:dyDescent="0.25">
      <c r="S1161" s="2"/>
      <c r="T1161" s="2"/>
      <c r="U1161" s="2"/>
      <c r="V1161" s="2"/>
      <c r="W1161" s="2"/>
      <c r="X1161" s="2"/>
      <c r="Y1161" s="2"/>
      <c r="Z1161" s="2"/>
    </row>
    <row r="1162" spans="19:26" x14ac:dyDescent="0.25">
      <c r="S1162" s="2"/>
      <c r="T1162" s="2"/>
      <c r="U1162" s="2"/>
      <c r="V1162" s="2"/>
      <c r="W1162" s="2"/>
      <c r="X1162" s="2"/>
      <c r="Y1162" s="2"/>
      <c r="Z1162" s="2"/>
    </row>
    <row r="1163" spans="19:26" x14ac:dyDescent="0.25">
      <c r="S1163" s="2"/>
      <c r="T1163" s="2"/>
      <c r="U1163" s="2"/>
      <c r="V1163" s="2"/>
      <c r="W1163" s="2"/>
      <c r="X1163" s="2"/>
      <c r="Y1163" s="2"/>
      <c r="Z1163" s="2"/>
    </row>
    <row r="1164" spans="19:26" x14ac:dyDescent="0.25">
      <c r="S1164" s="2"/>
      <c r="T1164" s="2"/>
      <c r="U1164" s="2"/>
      <c r="V1164" s="2"/>
      <c r="W1164" s="2"/>
      <c r="X1164" s="2"/>
      <c r="Y1164" s="2"/>
      <c r="Z1164" s="2"/>
    </row>
    <row r="1165" spans="19:26" x14ac:dyDescent="0.25">
      <c r="S1165" s="2"/>
      <c r="T1165" s="2"/>
      <c r="U1165" s="2"/>
      <c r="V1165" s="2"/>
      <c r="W1165" s="2"/>
      <c r="X1165" s="2"/>
      <c r="Y1165" s="2"/>
      <c r="Z1165" s="2"/>
    </row>
    <row r="1166" spans="19:26" x14ac:dyDescent="0.25">
      <c r="S1166" s="2"/>
      <c r="T1166" s="2"/>
      <c r="U1166" s="2"/>
      <c r="V1166" s="2"/>
      <c r="W1166" s="2"/>
      <c r="X1166" s="2"/>
      <c r="Y1166" s="2"/>
      <c r="Z1166" s="2"/>
    </row>
    <row r="1167" spans="19:26" x14ac:dyDescent="0.25">
      <c r="S1167" s="2"/>
      <c r="T1167" s="2"/>
      <c r="U1167" s="2"/>
      <c r="V1167" s="2"/>
      <c r="W1167" s="2"/>
      <c r="X1167" s="2"/>
      <c r="Y1167" s="2"/>
      <c r="Z1167" s="2"/>
    </row>
    <row r="1168" spans="19:26" x14ac:dyDescent="0.25">
      <c r="S1168" s="2"/>
      <c r="T1168" s="2"/>
      <c r="U1168" s="2"/>
      <c r="V1168" s="2"/>
      <c r="W1168" s="2"/>
      <c r="X1168" s="2"/>
      <c r="Y1168" s="2"/>
      <c r="Z1168" s="2"/>
    </row>
    <row r="1169" spans="19:26" x14ac:dyDescent="0.25">
      <c r="S1169" s="2"/>
      <c r="T1169" s="2"/>
      <c r="U1169" s="2"/>
      <c r="V1169" s="2"/>
      <c r="W1169" s="2"/>
      <c r="X1169" s="2"/>
      <c r="Y1169" s="2"/>
      <c r="Z1169" s="2"/>
    </row>
    <row r="1170" spans="19:26" x14ac:dyDescent="0.25">
      <c r="S1170" s="2"/>
      <c r="T1170" s="2"/>
      <c r="U1170" s="2"/>
      <c r="V1170" s="2"/>
      <c r="W1170" s="2"/>
      <c r="X1170" s="2"/>
      <c r="Y1170" s="2"/>
      <c r="Z1170" s="2"/>
    </row>
    <row r="1171" spans="19:26" x14ac:dyDescent="0.25">
      <c r="S1171" s="2"/>
      <c r="T1171" s="2"/>
      <c r="U1171" s="2"/>
      <c r="V1171" s="2"/>
      <c r="W1171" s="2"/>
      <c r="X1171" s="2"/>
      <c r="Y1171" s="2"/>
      <c r="Z1171" s="2"/>
    </row>
    <row r="1172" spans="19:26" x14ac:dyDescent="0.25">
      <c r="S1172" s="2"/>
      <c r="T1172" s="2"/>
      <c r="U1172" s="2"/>
      <c r="V1172" s="2"/>
      <c r="W1172" s="2"/>
      <c r="X1172" s="2"/>
      <c r="Y1172" s="2"/>
      <c r="Z1172" s="2"/>
    </row>
    <row r="1173" spans="19:26" x14ac:dyDescent="0.25">
      <c r="S1173" s="2"/>
      <c r="T1173" s="2"/>
      <c r="U1173" s="2"/>
      <c r="V1173" s="2"/>
      <c r="W1173" s="2"/>
      <c r="X1173" s="2"/>
      <c r="Y1173" s="2"/>
      <c r="Z1173" s="2"/>
    </row>
    <row r="1174" spans="19:26" x14ac:dyDescent="0.25">
      <c r="S1174" s="2"/>
      <c r="T1174" s="2"/>
      <c r="U1174" s="2"/>
      <c r="V1174" s="2"/>
      <c r="W1174" s="2"/>
      <c r="X1174" s="2"/>
      <c r="Y1174" s="2"/>
      <c r="Z1174" s="2"/>
    </row>
    <row r="1175" spans="19:26" x14ac:dyDescent="0.25">
      <c r="S1175" s="2"/>
      <c r="T1175" s="2"/>
      <c r="U1175" s="2"/>
      <c r="V1175" s="2"/>
      <c r="W1175" s="2"/>
      <c r="X1175" s="2"/>
      <c r="Y1175" s="2"/>
      <c r="Z1175" s="2"/>
    </row>
    <row r="1176" spans="19:26" x14ac:dyDescent="0.25">
      <c r="S1176" s="2"/>
      <c r="T1176" s="2"/>
      <c r="U1176" s="2"/>
      <c r="V1176" s="2"/>
      <c r="W1176" s="2"/>
      <c r="X1176" s="2"/>
      <c r="Y1176" s="2"/>
      <c r="Z1176" s="2"/>
    </row>
    <row r="1177" spans="19:26" x14ac:dyDescent="0.25">
      <c r="S1177" s="2"/>
      <c r="T1177" s="2"/>
      <c r="U1177" s="2"/>
      <c r="V1177" s="2"/>
      <c r="W1177" s="2"/>
      <c r="X1177" s="2"/>
      <c r="Y1177" s="2"/>
      <c r="Z1177" s="2"/>
    </row>
    <row r="1178" spans="19:26" x14ac:dyDescent="0.25">
      <c r="S1178" s="2"/>
      <c r="T1178" s="2"/>
      <c r="U1178" s="2"/>
      <c r="V1178" s="2"/>
      <c r="W1178" s="2"/>
      <c r="X1178" s="2"/>
      <c r="Y1178" s="2"/>
      <c r="Z1178" s="2"/>
    </row>
    <row r="1179" spans="19:26" x14ac:dyDescent="0.25">
      <c r="S1179" s="2"/>
      <c r="T1179" s="2"/>
      <c r="U1179" s="2"/>
      <c r="V1179" s="2"/>
      <c r="W1179" s="2"/>
      <c r="X1179" s="2"/>
      <c r="Y1179" s="2"/>
      <c r="Z1179" s="2"/>
    </row>
    <row r="1180" spans="19:26" x14ac:dyDescent="0.25">
      <c r="S1180" s="2"/>
      <c r="T1180" s="2"/>
      <c r="U1180" s="2"/>
      <c r="V1180" s="2"/>
      <c r="W1180" s="2"/>
      <c r="X1180" s="2"/>
      <c r="Y1180" s="2"/>
      <c r="Z1180" s="2"/>
    </row>
    <row r="1181" spans="19:26" x14ac:dyDescent="0.25">
      <c r="S1181" s="2"/>
      <c r="T1181" s="2"/>
      <c r="U1181" s="2"/>
      <c r="V1181" s="2"/>
      <c r="W1181" s="2"/>
      <c r="X1181" s="2"/>
      <c r="Y1181" s="2"/>
      <c r="Z1181" s="2"/>
    </row>
    <row r="1182" spans="19:26" x14ac:dyDescent="0.25">
      <c r="S1182" s="2"/>
      <c r="T1182" s="2"/>
      <c r="U1182" s="2"/>
      <c r="V1182" s="2"/>
      <c r="W1182" s="2"/>
      <c r="X1182" s="2"/>
      <c r="Y1182" s="2"/>
      <c r="Z1182" s="2"/>
    </row>
    <row r="1183" spans="19:26" x14ac:dyDescent="0.25">
      <c r="S1183" s="2"/>
      <c r="T1183" s="2"/>
      <c r="U1183" s="2"/>
      <c r="V1183" s="2"/>
      <c r="W1183" s="2"/>
      <c r="X1183" s="2"/>
      <c r="Y1183" s="2"/>
      <c r="Z1183" s="2"/>
    </row>
    <row r="1184" spans="19:26" x14ac:dyDescent="0.25">
      <c r="S1184" s="2"/>
      <c r="T1184" s="2"/>
      <c r="U1184" s="2"/>
      <c r="V1184" s="2"/>
      <c r="W1184" s="2"/>
      <c r="X1184" s="2"/>
      <c r="Y1184" s="2"/>
      <c r="Z1184" s="2"/>
    </row>
    <row r="1185" spans="19:26" x14ac:dyDescent="0.25">
      <c r="S1185" s="2"/>
      <c r="T1185" s="2"/>
      <c r="U1185" s="2"/>
      <c r="V1185" s="2"/>
      <c r="W1185" s="2"/>
      <c r="X1185" s="2"/>
      <c r="Y1185" s="2"/>
      <c r="Z1185" s="2"/>
    </row>
    <row r="1186" spans="19:26" x14ac:dyDescent="0.25">
      <c r="S1186" s="2"/>
      <c r="T1186" s="2"/>
      <c r="U1186" s="2"/>
      <c r="V1186" s="2"/>
      <c r="W1186" s="2"/>
      <c r="X1186" s="2"/>
      <c r="Y1186" s="2"/>
      <c r="Z1186" s="2"/>
    </row>
    <row r="1187" spans="19:26" x14ac:dyDescent="0.25">
      <c r="S1187" s="2"/>
      <c r="T1187" s="2"/>
      <c r="U1187" s="2"/>
      <c r="V1187" s="2"/>
      <c r="W1187" s="2"/>
      <c r="X1187" s="2"/>
      <c r="Y1187" s="2"/>
      <c r="Z1187" s="2"/>
    </row>
    <row r="1188" spans="19:26" x14ac:dyDescent="0.25">
      <c r="S1188" s="2"/>
      <c r="T1188" s="2"/>
      <c r="U1188" s="2"/>
      <c r="V1188" s="2"/>
      <c r="W1188" s="2"/>
      <c r="X1188" s="2"/>
      <c r="Y1188" s="2"/>
      <c r="Z1188" s="2"/>
    </row>
    <row r="1189" spans="19:26" x14ac:dyDescent="0.25">
      <c r="S1189" s="2"/>
      <c r="T1189" s="2"/>
      <c r="U1189" s="2"/>
      <c r="V1189" s="2"/>
      <c r="W1189" s="2"/>
      <c r="X1189" s="2"/>
      <c r="Y1189" s="2"/>
      <c r="Z1189" s="2"/>
    </row>
    <row r="1190" spans="19:26" x14ac:dyDescent="0.25">
      <c r="S1190" s="2"/>
      <c r="T1190" s="2"/>
      <c r="U1190" s="2"/>
      <c r="V1190" s="2"/>
      <c r="W1190" s="2"/>
      <c r="X1190" s="2"/>
      <c r="Y1190" s="2"/>
      <c r="Z1190" s="2"/>
    </row>
    <row r="1191" spans="19:26" x14ac:dyDescent="0.25">
      <c r="S1191" s="2"/>
      <c r="T1191" s="2"/>
      <c r="U1191" s="2"/>
      <c r="V1191" s="2"/>
      <c r="W1191" s="2"/>
      <c r="X1191" s="2"/>
      <c r="Y1191" s="2"/>
      <c r="Z1191" s="2"/>
    </row>
    <row r="1192" spans="19:26" x14ac:dyDescent="0.25">
      <c r="S1192" s="2"/>
      <c r="T1192" s="2"/>
      <c r="U1192" s="2"/>
      <c r="V1192" s="2"/>
      <c r="W1192" s="2"/>
      <c r="X1192" s="2"/>
      <c r="Y1192" s="2"/>
      <c r="Z1192" s="2"/>
    </row>
    <row r="1193" spans="19:26" x14ac:dyDescent="0.25">
      <c r="S1193" s="2"/>
      <c r="T1193" s="2"/>
      <c r="U1193" s="2"/>
      <c r="V1193" s="2"/>
      <c r="W1193" s="2"/>
      <c r="X1193" s="2"/>
      <c r="Y1193" s="2"/>
      <c r="Z1193" s="2"/>
    </row>
    <row r="1194" spans="19:26" x14ac:dyDescent="0.25">
      <c r="S1194" s="2"/>
      <c r="T1194" s="2"/>
      <c r="U1194" s="2"/>
      <c r="V1194" s="2"/>
      <c r="W1194" s="2"/>
      <c r="X1194" s="2"/>
      <c r="Y1194" s="2"/>
      <c r="Z1194" s="2"/>
    </row>
    <row r="1195" spans="19:26" x14ac:dyDescent="0.25">
      <c r="S1195" s="2"/>
      <c r="T1195" s="2"/>
      <c r="U1195" s="2"/>
      <c r="V1195" s="2"/>
      <c r="W1195" s="2"/>
      <c r="X1195" s="2"/>
      <c r="Y1195" s="2"/>
      <c r="Z1195" s="2"/>
    </row>
    <row r="1196" spans="19:26" x14ac:dyDescent="0.25">
      <c r="S1196" s="2"/>
      <c r="T1196" s="2"/>
      <c r="U1196" s="2"/>
      <c r="V1196" s="2"/>
      <c r="W1196" s="2"/>
      <c r="X1196" s="2"/>
      <c r="Y1196" s="2"/>
      <c r="Z1196" s="2"/>
    </row>
    <row r="1197" spans="19:26" x14ac:dyDescent="0.25">
      <c r="S1197" s="2"/>
      <c r="T1197" s="2"/>
      <c r="U1197" s="2"/>
      <c r="V1197" s="2"/>
      <c r="W1197" s="2"/>
      <c r="X1197" s="2"/>
      <c r="Y1197" s="2"/>
      <c r="Z1197" s="2"/>
    </row>
    <row r="1198" spans="19:26" x14ac:dyDescent="0.25">
      <c r="S1198" s="2"/>
      <c r="T1198" s="2"/>
      <c r="U1198" s="2"/>
      <c r="V1198" s="2"/>
      <c r="W1198" s="2"/>
      <c r="X1198" s="2"/>
      <c r="Y1198" s="2"/>
      <c r="Z1198" s="2"/>
    </row>
    <row r="1199" spans="19:26" x14ac:dyDescent="0.25">
      <c r="S1199" s="2"/>
      <c r="T1199" s="2"/>
      <c r="U1199" s="2"/>
      <c r="V1199" s="2"/>
      <c r="W1199" s="2"/>
      <c r="X1199" s="2"/>
      <c r="Y1199" s="2"/>
      <c r="Z1199" s="2"/>
    </row>
    <row r="1200" spans="19:26" x14ac:dyDescent="0.25">
      <c r="S1200" s="2"/>
      <c r="T1200" s="2"/>
      <c r="U1200" s="2"/>
      <c r="V1200" s="2"/>
      <c r="W1200" s="2"/>
      <c r="X1200" s="2"/>
      <c r="Y1200" s="2"/>
      <c r="Z1200" s="2"/>
    </row>
    <row r="1201" spans="19:26" x14ac:dyDescent="0.25">
      <c r="S1201" s="2"/>
      <c r="T1201" s="2"/>
      <c r="U1201" s="2"/>
      <c r="V1201" s="2"/>
      <c r="W1201" s="2"/>
      <c r="X1201" s="2"/>
      <c r="Y1201" s="2"/>
      <c r="Z1201" s="2"/>
    </row>
    <row r="1202" spans="19:26" x14ac:dyDescent="0.25">
      <c r="S1202" s="2"/>
      <c r="T1202" s="2"/>
      <c r="U1202" s="2"/>
      <c r="V1202" s="2"/>
      <c r="W1202" s="2"/>
      <c r="X1202" s="2"/>
      <c r="Y1202" s="2"/>
      <c r="Z1202" s="2"/>
    </row>
    <row r="1203" spans="19:26" x14ac:dyDescent="0.25">
      <c r="S1203" s="2"/>
      <c r="T1203" s="2"/>
      <c r="U1203" s="2"/>
      <c r="V1203" s="2"/>
      <c r="W1203" s="2"/>
      <c r="X1203" s="2"/>
      <c r="Y1203" s="2"/>
      <c r="Z1203" s="2"/>
    </row>
    <row r="1204" spans="19:26" x14ac:dyDescent="0.25">
      <c r="S1204" s="2"/>
      <c r="T1204" s="2"/>
      <c r="U1204" s="2"/>
      <c r="V1204" s="2"/>
      <c r="W1204" s="2"/>
      <c r="X1204" s="2"/>
      <c r="Y1204" s="2"/>
      <c r="Z1204" s="2"/>
    </row>
    <row r="1205" spans="19:26" x14ac:dyDescent="0.25">
      <c r="S1205" s="2"/>
      <c r="T1205" s="2"/>
      <c r="U1205" s="2"/>
      <c r="V1205" s="2"/>
      <c r="W1205" s="2"/>
      <c r="X1205" s="2"/>
      <c r="Y1205" s="2"/>
      <c r="Z1205" s="2"/>
    </row>
    <row r="1206" spans="19:26" x14ac:dyDescent="0.25">
      <c r="S1206" s="2"/>
      <c r="T1206" s="2"/>
      <c r="U1206" s="2"/>
      <c r="V1206" s="2"/>
      <c r="W1206" s="2"/>
      <c r="X1206" s="2"/>
      <c r="Y1206" s="2"/>
      <c r="Z1206" s="2"/>
    </row>
    <row r="1207" spans="19:26" x14ac:dyDescent="0.25">
      <c r="S1207" s="2"/>
      <c r="T1207" s="2"/>
      <c r="U1207" s="2"/>
      <c r="V1207" s="2"/>
      <c r="W1207" s="2"/>
      <c r="X1207" s="2"/>
      <c r="Y1207" s="2"/>
      <c r="Z1207" s="2"/>
    </row>
    <row r="1208" spans="19:26" x14ac:dyDescent="0.25">
      <c r="S1208" s="2"/>
      <c r="T1208" s="2"/>
      <c r="U1208" s="2"/>
      <c r="V1208" s="2"/>
      <c r="W1208" s="2"/>
      <c r="X1208" s="2"/>
      <c r="Y1208" s="2"/>
      <c r="Z1208" s="2"/>
    </row>
    <row r="1209" spans="19:26" x14ac:dyDescent="0.25">
      <c r="S1209" s="2"/>
      <c r="T1209" s="2"/>
      <c r="U1209" s="2"/>
      <c r="V1209" s="2"/>
      <c r="W1209" s="2"/>
      <c r="X1209" s="2"/>
      <c r="Y1209" s="2"/>
      <c r="Z1209" s="2"/>
    </row>
    <row r="1210" spans="19:26" x14ac:dyDescent="0.25">
      <c r="S1210" s="2"/>
      <c r="T1210" s="2"/>
      <c r="U1210" s="2"/>
      <c r="V1210" s="2"/>
      <c r="W1210" s="2"/>
      <c r="X1210" s="2"/>
      <c r="Y1210" s="2"/>
      <c r="Z1210" s="2"/>
    </row>
    <row r="1211" spans="19:26" x14ac:dyDescent="0.25">
      <c r="S1211" s="2"/>
      <c r="T1211" s="2"/>
      <c r="U1211" s="2"/>
      <c r="V1211" s="2"/>
      <c r="W1211" s="2"/>
      <c r="X1211" s="2"/>
      <c r="Y1211" s="2"/>
      <c r="Z1211" s="2"/>
    </row>
    <row r="1212" spans="19:26" x14ac:dyDescent="0.25">
      <c r="S1212" s="2"/>
      <c r="T1212" s="2"/>
      <c r="U1212" s="2"/>
      <c r="V1212" s="2"/>
      <c r="W1212" s="2"/>
      <c r="X1212" s="2"/>
      <c r="Y1212" s="2"/>
      <c r="Z1212" s="2"/>
    </row>
    <row r="1213" spans="19:26" x14ac:dyDescent="0.25">
      <c r="S1213" s="2"/>
      <c r="T1213" s="2"/>
      <c r="U1213" s="2"/>
      <c r="V1213" s="2"/>
      <c r="W1213" s="2"/>
      <c r="X1213" s="2"/>
      <c r="Y1213" s="2"/>
      <c r="Z1213" s="2"/>
    </row>
    <row r="1214" spans="19:26" x14ac:dyDescent="0.25">
      <c r="S1214" s="2"/>
      <c r="T1214" s="2"/>
      <c r="U1214" s="2"/>
      <c r="V1214" s="2"/>
      <c r="W1214" s="2"/>
      <c r="X1214" s="2"/>
      <c r="Y1214" s="2"/>
      <c r="Z1214" s="2"/>
    </row>
    <row r="1215" spans="19:26" x14ac:dyDescent="0.25">
      <c r="S1215" s="2"/>
      <c r="T1215" s="2"/>
      <c r="U1215" s="2"/>
      <c r="V1215" s="2"/>
      <c r="W1215" s="2"/>
      <c r="X1215" s="2"/>
      <c r="Y1215" s="2"/>
      <c r="Z1215" s="2"/>
    </row>
    <row r="1216" spans="19:26" x14ac:dyDescent="0.25">
      <c r="S1216" s="2"/>
      <c r="T1216" s="2"/>
      <c r="U1216" s="2"/>
      <c r="V1216" s="2"/>
      <c r="W1216" s="2"/>
      <c r="X1216" s="2"/>
      <c r="Y1216" s="2"/>
      <c r="Z1216" s="2"/>
    </row>
    <row r="1217" spans="19:26" x14ac:dyDescent="0.25">
      <c r="S1217" s="2"/>
      <c r="T1217" s="2"/>
      <c r="U1217" s="2"/>
      <c r="V1217" s="2"/>
      <c r="W1217" s="2"/>
      <c r="X1217" s="2"/>
      <c r="Y1217" s="2"/>
      <c r="Z1217" s="2"/>
    </row>
    <row r="1218" spans="19:26" x14ac:dyDescent="0.25">
      <c r="S1218" s="2"/>
      <c r="T1218" s="2"/>
      <c r="U1218" s="2"/>
      <c r="V1218" s="2"/>
      <c r="W1218" s="2"/>
      <c r="X1218" s="2"/>
      <c r="Y1218" s="2"/>
      <c r="Z1218" s="2"/>
    </row>
    <row r="1219" spans="19:26" x14ac:dyDescent="0.25">
      <c r="S1219" s="2"/>
      <c r="T1219" s="2"/>
      <c r="U1219" s="2"/>
      <c r="V1219" s="2"/>
      <c r="W1219" s="2"/>
      <c r="X1219" s="2"/>
      <c r="Y1219" s="2"/>
      <c r="Z1219" s="2"/>
    </row>
    <row r="1220" spans="19:26" x14ac:dyDescent="0.25">
      <c r="S1220" s="2"/>
      <c r="T1220" s="2"/>
      <c r="U1220" s="2"/>
      <c r="V1220" s="2"/>
      <c r="W1220" s="2"/>
      <c r="X1220" s="2"/>
      <c r="Y1220" s="2"/>
      <c r="Z1220" s="2"/>
    </row>
    <row r="1221" spans="19:26" x14ac:dyDescent="0.25">
      <c r="S1221" s="2"/>
      <c r="T1221" s="2"/>
      <c r="U1221" s="2"/>
      <c r="V1221" s="2"/>
      <c r="W1221" s="2"/>
      <c r="X1221" s="2"/>
      <c r="Y1221" s="2"/>
      <c r="Z1221" s="2"/>
    </row>
    <row r="1222" spans="19:26" x14ac:dyDescent="0.25">
      <c r="S1222" s="2"/>
      <c r="T1222" s="2"/>
      <c r="U1222" s="2"/>
      <c r="V1222" s="2"/>
      <c r="W1222" s="2"/>
      <c r="X1222" s="2"/>
      <c r="Y1222" s="2"/>
      <c r="Z1222" s="2"/>
    </row>
    <row r="1223" spans="19:26" x14ac:dyDescent="0.25">
      <c r="S1223" s="2"/>
      <c r="T1223" s="2"/>
      <c r="U1223" s="2"/>
      <c r="V1223" s="2"/>
      <c r="W1223" s="2"/>
      <c r="X1223" s="2"/>
      <c r="Y1223" s="2"/>
      <c r="Z1223" s="2"/>
    </row>
    <row r="1224" spans="19:26" x14ac:dyDescent="0.25">
      <c r="S1224" s="2"/>
      <c r="T1224" s="2"/>
      <c r="U1224" s="2"/>
      <c r="V1224" s="2"/>
      <c r="W1224" s="2"/>
      <c r="X1224" s="2"/>
      <c r="Y1224" s="2"/>
      <c r="Z1224" s="2"/>
    </row>
    <row r="1225" spans="19:26" x14ac:dyDescent="0.25">
      <c r="S1225" s="2"/>
      <c r="T1225" s="2"/>
      <c r="U1225" s="2"/>
      <c r="V1225" s="2"/>
      <c r="W1225" s="2"/>
      <c r="X1225" s="2"/>
      <c r="Y1225" s="2"/>
      <c r="Z1225" s="2"/>
    </row>
    <row r="1226" spans="19:26" x14ac:dyDescent="0.25">
      <c r="S1226" s="2"/>
      <c r="T1226" s="2"/>
      <c r="U1226" s="2"/>
      <c r="V1226" s="2"/>
      <c r="W1226" s="2"/>
      <c r="X1226" s="2"/>
      <c r="Y1226" s="2"/>
      <c r="Z1226" s="2"/>
    </row>
    <row r="1227" spans="19:26" x14ac:dyDescent="0.25">
      <c r="S1227" s="2"/>
      <c r="T1227" s="2"/>
      <c r="U1227" s="2"/>
      <c r="V1227" s="2"/>
      <c r="W1227" s="2"/>
      <c r="X1227" s="2"/>
      <c r="Y1227" s="2"/>
      <c r="Z1227" s="2"/>
    </row>
    <row r="1228" spans="19:26" x14ac:dyDescent="0.25">
      <c r="S1228" s="2"/>
      <c r="T1228" s="2"/>
      <c r="U1228" s="2"/>
      <c r="V1228" s="2"/>
      <c r="W1228" s="2"/>
      <c r="X1228" s="2"/>
      <c r="Y1228" s="2"/>
      <c r="Z1228" s="2"/>
    </row>
    <row r="1229" spans="19:26" x14ac:dyDescent="0.25">
      <c r="S1229" s="2"/>
      <c r="T1229" s="2"/>
      <c r="U1229" s="2"/>
      <c r="V1229" s="2"/>
      <c r="W1229" s="2"/>
      <c r="X1229" s="2"/>
      <c r="Y1229" s="2"/>
      <c r="Z1229" s="2"/>
    </row>
    <row r="1230" spans="19:26" x14ac:dyDescent="0.25">
      <c r="S1230" s="2"/>
      <c r="T1230" s="2"/>
      <c r="U1230" s="2"/>
      <c r="V1230" s="2"/>
      <c r="W1230" s="2"/>
      <c r="X1230" s="2"/>
      <c r="Y1230" s="2"/>
      <c r="Z1230" s="2"/>
    </row>
    <row r="1231" spans="19:26" x14ac:dyDescent="0.25">
      <c r="S1231" s="2"/>
      <c r="T1231" s="2"/>
      <c r="U1231" s="2"/>
      <c r="V1231" s="2"/>
      <c r="W1231" s="2"/>
      <c r="X1231" s="2"/>
      <c r="Y1231" s="2"/>
      <c r="Z1231" s="2"/>
    </row>
    <row r="1232" spans="19:26" x14ac:dyDescent="0.25">
      <c r="S1232" s="2"/>
      <c r="T1232" s="2"/>
      <c r="U1232" s="2"/>
      <c r="V1232" s="2"/>
      <c r="W1232" s="2"/>
      <c r="X1232" s="2"/>
      <c r="Y1232" s="2"/>
      <c r="Z1232" s="2"/>
    </row>
    <row r="1233" spans="19:26" x14ac:dyDescent="0.25">
      <c r="S1233" s="2"/>
      <c r="T1233" s="2"/>
      <c r="U1233" s="2"/>
      <c r="V1233" s="2"/>
      <c r="W1233" s="2"/>
      <c r="X1233" s="2"/>
      <c r="Y1233" s="2"/>
      <c r="Z1233" s="2"/>
    </row>
    <row r="1234" spans="19:26" x14ac:dyDescent="0.25">
      <c r="S1234" s="2"/>
      <c r="T1234" s="2"/>
      <c r="U1234" s="2"/>
      <c r="V1234" s="2"/>
      <c r="W1234" s="2"/>
      <c r="X1234" s="2"/>
      <c r="Y1234" s="2"/>
      <c r="Z1234" s="2"/>
    </row>
    <row r="1235" spans="19:26" x14ac:dyDescent="0.25">
      <c r="S1235" s="2"/>
      <c r="T1235" s="2"/>
      <c r="U1235" s="2"/>
      <c r="V1235" s="2"/>
      <c r="W1235" s="2"/>
      <c r="X1235" s="2"/>
      <c r="Y1235" s="2"/>
      <c r="Z1235" s="2"/>
    </row>
    <row r="1236" spans="19:26" x14ac:dyDescent="0.25">
      <c r="S1236" s="2"/>
      <c r="T1236" s="2"/>
      <c r="U1236" s="2"/>
      <c r="V1236" s="2"/>
      <c r="W1236" s="2"/>
      <c r="X1236" s="2"/>
      <c r="Y1236" s="2"/>
      <c r="Z1236" s="2"/>
    </row>
    <row r="1237" spans="19:26" x14ac:dyDescent="0.25">
      <c r="S1237" s="2"/>
      <c r="T1237" s="2"/>
      <c r="U1237" s="2"/>
      <c r="V1237" s="2"/>
      <c r="W1237" s="2"/>
      <c r="X1237" s="2"/>
      <c r="Y1237" s="2"/>
      <c r="Z1237" s="2"/>
    </row>
    <row r="1238" spans="19:26" x14ac:dyDescent="0.25">
      <c r="S1238" s="2"/>
      <c r="T1238" s="2"/>
      <c r="U1238" s="2"/>
      <c r="V1238" s="2"/>
      <c r="W1238" s="2"/>
      <c r="X1238" s="2"/>
      <c r="Y1238" s="2"/>
      <c r="Z1238" s="2"/>
    </row>
    <row r="1239" spans="19:26" x14ac:dyDescent="0.25">
      <c r="S1239" s="2"/>
      <c r="T1239" s="2"/>
      <c r="U1239" s="2"/>
      <c r="V1239" s="2"/>
      <c r="W1239" s="2"/>
      <c r="X1239" s="2"/>
      <c r="Y1239" s="2"/>
      <c r="Z1239" s="2"/>
    </row>
    <row r="1240" spans="19:26" x14ac:dyDescent="0.25">
      <c r="S1240" s="2"/>
      <c r="T1240" s="2"/>
      <c r="U1240" s="2"/>
      <c r="V1240" s="2"/>
      <c r="W1240" s="2"/>
      <c r="X1240" s="2"/>
      <c r="Y1240" s="2"/>
      <c r="Z1240" s="2"/>
    </row>
    <row r="1241" spans="19:26" x14ac:dyDescent="0.25">
      <c r="S1241" s="2"/>
      <c r="T1241" s="2"/>
      <c r="U1241" s="2"/>
      <c r="V1241" s="2"/>
      <c r="W1241" s="2"/>
      <c r="X1241" s="2"/>
      <c r="Y1241" s="2"/>
      <c r="Z1241" s="2"/>
    </row>
    <row r="1242" spans="19:26" x14ac:dyDescent="0.25">
      <c r="S1242" s="2"/>
      <c r="T1242" s="2"/>
      <c r="U1242" s="2"/>
      <c r="V1242" s="2"/>
      <c r="W1242" s="2"/>
      <c r="X1242" s="2"/>
      <c r="Y1242" s="2"/>
      <c r="Z1242" s="2"/>
    </row>
    <row r="1243" spans="19:26" x14ac:dyDescent="0.25">
      <c r="S1243" s="2"/>
      <c r="T1243" s="2"/>
      <c r="U1243" s="2"/>
      <c r="V1243" s="2"/>
      <c r="W1243" s="2"/>
      <c r="X1243" s="2"/>
      <c r="Y1243" s="2"/>
      <c r="Z1243" s="2"/>
    </row>
    <row r="1244" spans="19:26" x14ac:dyDescent="0.25">
      <c r="S1244" s="2"/>
      <c r="T1244" s="2"/>
      <c r="U1244" s="2"/>
      <c r="V1244" s="2"/>
      <c r="W1244" s="2"/>
      <c r="X1244" s="2"/>
      <c r="Y1244" s="2"/>
      <c r="Z1244" s="2"/>
    </row>
    <row r="1245" spans="19:26" x14ac:dyDescent="0.25">
      <c r="S1245" s="2"/>
      <c r="T1245" s="2"/>
      <c r="U1245" s="2"/>
      <c r="V1245" s="2"/>
      <c r="W1245" s="2"/>
      <c r="X1245" s="2"/>
      <c r="Y1245" s="2"/>
      <c r="Z1245" s="2"/>
    </row>
    <row r="1246" spans="19:26" x14ac:dyDescent="0.25">
      <c r="S1246" s="2"/>
      <c r="T1246" s="2"/>
      <c r="U1246" s="2"/>
      <c r="V1246" s="2"/>
      <c r="W1246" s="2"/>
      <c r="X1246" s="2"/>
      <c r="Y1246" s="2"/>
      <c r="Z1246" s="2"/>
    </row>
    <row r="1247" spans="19:26" x14ac:dyDescent="0.25">
      <c r="S1247" s="2"/>
      <c r="T1247" s="2"/>
      <c r="U1247" s="2"/>
      <c r="V1247" s="2"/>
      <c r="W1247" s="2"/>
      <c r="X1247" s="2"/>
      <c r="Y1247" s="2"/>
      <c r="Z1247" s="2"/>
    </row>
    <row r="1248" spans="19:26" x14ac:dyDescent="0.25">
      <c r="S1248" s="2"/>
      <c r="T1248" s="2"/>
      <c r="U1248" s="2"/>
      <c r="V1248" s="2"/>
      <c r="W1248" s="2"/>
      <c r="X1248" s="2"/>
      <c r="Y1248" s="2"/>
      <c r="Z1248" s="2"/>
    </row>
    <row r="1249" spans="19:26" x14ac:dyDescent="0.25">
      <c r="S1249" s="2"/>
      <c r="T1249" s="2"/>
      <c r="U1249" s="2"/>
      <c r="V1249" s="2"/>
      <c r="W1249" s="2"/>
      <c r="X1249" s="2"/>
      <c r="Y1249" s="2"/>
      <c r="Z1249" s="2"/>
    </row>
    <row r="1250" spans="19:26" x14ac:dyDescent="0.25">
      <c r="S1250" s="2"/>
      <c r="T1250" s="2"/>
      <c r="U1250" s="2"/>
      <c r="V1250" s="2"/>
      <c r="W1250" s="2"/>
      <c r="X1250" s="2"/>
      <c r="Y1250" s="2"/>
      <c r="Z1250" s="2"/>
    </row>
    <row r="1251" spans="19:26" x14ac:dyDescent="0.25">
      <c r="S1251" s="2"/>
      <c r="T1251" s="2"/>
      <c r="U1251" s="2"/>
      <c r="V1251" s="2"/>
      <c r="W1251" s="2"/>
      <c r="X1251" s="2"/>
      <c r="Y1251" s="2"/>
      <c r="Z1251" s="2"/>
    </row>
    <row r="1252" spans="19:26" x14ac:dyDescent="0.25">
      <c r="S1252" s="2"/>
      <c r="T1252" s="2"/>
      <c r="U1252" s="2"/>
      <c r="V1252" s="2"/>
      <c r="W1252" s="2"/>
      <c r="X1252" s="2"/>
      <c r="Y1252" s="2"/>
      <c r="Z1252" s="2"/>
    </row>
    <row r="1253" spans="19:26" x14ac:dyDescent="0.25">
      <c r="S1253" s="2"/>
      <c r="T1253" s="2"/>
      <c r="U1253" s="2"/>
      <c r="V1253" s="2"/>
      <c r="W1253" s="2"/>
      <c r="X1253" s="2"/>
      <c r="Y1253" s="2"/>
      <c r="Z1253" s="2"/>
    </row>
    <row r="1254" spans="19:26" x14ac:dyDescent="0.25">
      <c r="S1254" s="2"/>
      <c r="T1254" s="2"/>
      <c r="U1254" s="2"/>
      <c r="V1254" s="2"/>
      <c r="W1254" s="2"/>
      <c r="X1254" s="2"/>
      <c r="Y1254" s="2"/>
      <c r="Z1254" s="2"/>
    </row>
    <row r="1255" spans="19:26" x14ac:dyDescent="0.25">
      <c r="S1255" s="2"/>
      <c r="T1255" s="2"/>
      <c r="U1255" s="2"/>
      <c r="V1255" s="2"/>
      <c r="W1255" s="2"/>
      <c r="X1255" s="2"/>
      <c r="Y1255" s="2"/>
      <c r="Z1255" s="2"/>
    </row>
    <row r="1256" spans="19:26" x14ac:dyDescent="0.25">
      <c r="S1256" s="2"/>
      <c r="T1256" s="2"/>
      <c r="U1256" s="2"/>
      <c r="V1256" s="2"/>
      <c r="W1256" s="2"/>
      <c r="X1256" s="2"/>
      <c r="Y1256" s="2"/>
      <c r="Z1256" s="2"/>
    </row>
    <row r="1257" spans="19:26" x14ac:dyDescent="0.25">
      <c r="S1257" s="2"/>
      <c r="T1257" s="2"/>
      <c r="U1257" s="2"/>
      <c r="V1257" s="2"/>
      <c r="W1257" s="2"/>
      <c r="X1257" s="2"/>
      <c r="Y1257" s="2"/>
      <c r="Z1257" s="2"/>
    </row>
    <row r="1258" spans="19:26" x14ac:dyDescent="0.25">
      <c r="S1258" s="2"/>
      <c r="T1258" s="2"/>
      <c r="U1258" s="2"/>
      <c r="V1258" s="2"/>
      <c r="W1258" s="2"/>
      <c r="X1258" s="2"/>
      <c r="Y1258" s="2"/>
      <c r="Z1258" s="2"/>
    </row>
    <row r="1259" spans="19:26" x14ac:dyDescent="0.25">
      <c r="S1259" s="2"/>
      <c r="T1259" s="2"/>
      <c r="U1259" s="2"/>
      <c r="V1259" s="2"/>
      <c r="W1259" s="2"/>
      <c r="X1259" s="2"/>
      <c r="Y1259" s="2"/>
      <c r="Z1259" s="2"/>
    </row>
    <row r="1260" spans="19:26" x14ac:dyDescent="0.25">
      <c r="S1260" s="2"/>
      <c r="T1260" s="2"/>
      <c r="U1260" s="2"/>
      <c r="V1260" s="2"/>
      <c r="W1260" s="2"/>
      <c r="X1260" s="2"/>
      <c r="Y1260" s="2"/>
      <c r="Z1260" s="2"/>
    </row>
    <row r="1261" spans="19:26" x14ac:dyDescent="0.25">
      <c r="S1261" s="2"/>
      <c r="T1261" s="2"/>
      <c r="U1261" s="2"/>
      <c r="V1261" s="2"/>
      <c r="W1261" s="2"/>
      <c r="X1261" s="2"/>
      <c r="Y1261" s="2"/>
      <c r="Z1261" s="2"/>
    </row>
    <row r="1262" spans="19:26" x14ac:dyDescent="0.25">
      <c r="S1262" s="2"/>
      <c r="T1262" s="2"/>
      <c r="U1262" s="2"/>
      <c r="V1262" s="2"/>
      <c r="W1262" s="2"/>
      <c r="X1262" s="2"/>
      <c r="Y1262" s="2"/>
      <c r="Z1262" s="2"/>
    </row>
    <row r="1263" spans="19:26" x14ac:dyDescent="0.25">
      <c r="S1263" s="2"/>
      <c r="T1263" s="2"/>
      <c r="U1263" s="2"/>
      <c r="V1263" s="2"/>
      <c r="W1263" s="2"/>
      <c r="X1263" s="2"/>
      <c r="Y1263" s="2"/>
      <c r="Z1263" s="2"/>
    </row>
    <row r="1264" spans="19:26" x14ac:dyDescent="0.25">
      <c r="S1264" s="2"/>
      <c r="T1264" s="2"/>
      <c r="U1264" s="2"/>
      <c r="V1264" s="2"/>
      <c r="W1264" s="2"/>
      <c r="X1264" s="2"/>
      <c r="Y1264" s="2"/>
      <c r="Z1264" s="2"/>
    </row>
    <row r="1265" spans="19:26" x14ac:dyDescent="0.25">
      <c r="S1265" s="2"/>
      <c r="T1265" s="2"/>
      <c r="U1265" s="2"/>
      <c r="V1265" s="2"/>
      <c r="W1265" s="2"/>
      <c r="X1265" s="2"/>
      <c r="Y1265" s="2"/>
      <c r="Z1265" s="2"/>
    </row>
    <row r="1266" spans="19:26" x14ac:dyDescent="0.25">
      <c r="S1266" s="2"/>
      <c r="T1266" s="2"/>
      <c r="U1266" s="2"/>
      <c r="V1266" s="2"/>
      <c r="W1266" s="2"/>
      <c r="X1266" s="2"/>
      <c r="Y1266" s="2"/>
      <c r="Z1266" s="2"/>
    </row>
    <row r="1267" spans="19:26" x14ac:dyDescent="0.25">
      <c r="S1267" s="2"/>
      <c r="T1267" s="2"/>
      <c r="U1267" s="2"/>
      <c r="V1267" s="2"/>
      <c r="W1267" s="2"/>
      <c r="X1267" s="2"/>
      <c r="Y1267" s="2"/>
      <c r="Z1267" s="2"/>
    </row>
    <row r="1268" spans="19:26" x14ac:dyDescent="0.25">
      <c r="S1268" s="2"/>
      <c r="T1268" s="2"/>
      <c r="U1268" s="2"/>
      <c r="V1268" s="2"/>
      <c r="W1268" s="2"/>
      <c r="X1268" s="2"/>
      <c r="Y1268" s="2"/>
      <c r="Z1268" s="2"/>
    </row>
    <row r="1269" spans="19:26" x14ac:dyDescent="0.25">
      <c r="S1269" s="2"/>
      <c r="T1269" s="2"/>
      <c r="U1269" s="2"/>
      <c r="V1269" s="2"/>
      <c r="W1269" s="2"/>
      <c r="X1269" s="2"/>
      <c r="Y1269" s="2"/>
      <c r="Z1269" s="2"/>
    </row>
    <row r="1270" spans="19:26" x14ac:dyDescent="0.25">
      <c r="S1270" s="2"/>
      <c r="T1270" s="2"/>
      <c r="U1270" s="2"/>
      <c r="V1270" s="2"/>
      <c r="W1270" s="2"/>
      <c r="X1270" s="2"/>
      <c r="Y1270" s="2"/>
      <c r="Z1270" s="2"/>
    </row>
    <row r="1271" spans="19:26" x14ac:dyDescent="0.25">
      <c r="S1271" s="2"/>
      <c r="T1271" s="2"/>
      <c r="U1271" s="2"/>
      <c r="V1271" s="2"/>
      <c r="W1271" s="2"/>
      <c r="X1271" s="2"/>
      <c r="Y1271" s="2"/>
      <c r="Z1271" s="2"/>
    </row>
    <row r="1272" spans="19:26" x14ac:dyDescent="0.25">
      <c r="S1272" s="2"/>
      <c r="T1272" s="2"/>
      <c r="U1272" s="2"/>
      <c r="V1272" s="2"/>
      <c r="W1272" s="2"/>
      <c r="X1272" s="2"/>
      <c r="Y1272" s="2"/>
      <c r="Z1272" s="2"/>
    </row>
    <row r="1273" spans="19:26" x14ac:dyDescent="0.25">
      <c r="S1273" s="2"/>
      <c r="T1273" s="2"/>
      <c r="U1273" s="2"/>
      <c r="V1273" s="2"/>
      <c r="W1273" s="2"/>
      <c r="X1273" s="2"/>
      <c r="Y1273" s="2"/>
      <c r="Z1273" s="2"/>
    </row>
    <row r="1274" spans="19:26" x14ac:dyDescent="0.25">
      <c r="S1274" s="2"/>
      <c r="T1274" s="2"/>
      <c r="U1274" s="2"/>
      <c r="V1274" s="2"/>
      <c r="W1274" s="2"/>
      <c r="X1274" s="2"/>
      <c r="Y1274" s="2"/>
      <c r="Z1274" s="2"/>
    </row>
    <row r="1275" spans="19:26" x14ac:dyDescent="0.25">
      <c r="S1275" s="2"/>
      <c r="T1275" s="2"/>
      <c r="U1275" s="2"/>
      <c r="V1275" s="2"/>
      <c r="W1275" s="2"/>
      <c r="X1275" s="2"/>
      <c r="Y1275" s="2"/>
      <c r="Z1275" s="2"/>
    </row>
    <row r="1276" spans="19:26" x14ac:dyDescent="0.25">
      <c r="S1276" s="2"/>
      <c r="T1276" s="2"/>
      <c r="U1276" s="2"/>
      <c r="V1276" s="2"/>
      <c r="W1276" s="2"/>
      <c r="X1276" s="2"/>
      <c r="Y1276" s="2"/>
      <c r="Z1276" s="2"/>
    </row>
    <row r="1277" spans="19:26" x14ac:dyDescent="0.25">
      <c r="S1277" s="2"/>
      <c r="T1277" s="2"/>
      <c r="U1277" s="2"/>
      <c r="V1277" s="2"/>
      <c r="W1277" s="2"/>
      <c r="X1277" s="2"/>
      <c r="Y1277" s="2"/>
      <c r="Z1277" s="2"/>
    </row>
    <row r="1278" spans="19:26" x14ac:dyDescent="0.25">
      <c r="S1278" s="2"/>
      <c r="T1278" s="2"/>
      <c r="U1278" s="2"/>
      <c r="V1278" s="2"/>
      <c r="W1278" s="2"/>
      <c r="X1278" s="2"/>
      <c r="Y1278" s="2"/>
      <c r="Z1278" s="2"/>
    </row>
    <row r="1279" spans="19:26" x14ac:dyDescent="0.25">
      <c r="S1279" s="2"/>
      <c r="T1279" s="2"/>
      <c r="U1279" s="2"/>
      <c r="V1279" s="2"/>
      <c r="W1279" s="2"/>
      <c r="X1279" s="2"/>
      <c r="Y1279" s="2"/>
      <c r="Z1279" s="2"/>
    </row>
    <row r="1280" spans="19:26" x14ac:dyDescent="0.25">
      <c r="S1280" s="2"/>
      <c r="T1280" s="2"/>
      <c r="U1280" s="2"/>
      <c r="V1280" s="2"/>
      <c r="W1280" s="2"/>
      <c r="X1280" s="2"/>
      <c r="Y1280" s="2"/>
      <c r="Z1280" s="2"/>
    </row>
    <row r="1281" spans="19:26" x14ac:dyDescent="0.25">
      <c r="S1281" s="2"/>
      <c r="T1281" s="2"/>
      <c r="U1281" s="2"/>
      <c r="V1281" s="2"/>
      <c r="W1281" s="2"/>
      <c r="X1281" s="2"/>
      <c r="Y1281" s="2"/>
      <c r="Z1281" s="2"/>
    </row>
    <row r="1282" spans="19:26" x14ac:dyDescent="0.25">
      <c r="S1282" s="2"/>
      <c r="T1282" s="2"/>
      <c r="U1282" s="2"/>
      <c r="V1282" s="2"/>
      <c r="W1282" s="2"/>
      <c r="X1282" s="2"/>
      <c r="Y1282" s="2"/>
      <c r="Z1282" s="2"/>
    </row>
    <row r="1283" spans="19:26" x14ac:dyDescent="0.25">
      <c r="S1283" s="2"/>
      <c r="T1283" s="2"/>
      <c r="U1283" s="2"/>
      <c r="V1283" s="2"/>
      <c r="W1283" s="2"/>
      <c r="X1283" s="2"/>
      <c r="Y1283" s="2"/>
      <c r="Z1283" s="2"/>
    </row>
    <row r="1284" spans="19:26" x14ac:dyDescent="0.25">
      <c r="S1284" s="2"/>
      <c r="T1284" s="2"/>
      <c r="U1284" s="2"/>
      <c r="V1284" s="2"/>
      <c r="W1284" s="2"/>
      <c r="X1284" s="2"/>
      <c r="Y1284" s="2"/>
      <c r="Z1284" s="2"/>
    </row>
    <row r="1285" spans="19:26" x14ac:dyDescent="0.25">
      <c r="S1285" s="2"/>
      <c r="T1285" s="2"/>
      <c r="U1285" s="2"/>
      <c r="V1285" s="2"/>
      <c r="W1285" s="2"/>
      <c r="X1285" s="2"/>
      <c r="Y1285" s="2"/>
      <c r="Z1285" s="2"/>
    </row>
    <row r="1286" spans="19:26" x14ac:dyDescent="0.25">
      <c r="S1286" s="2"/>
      <c r="T1286" s="2"/>
      <c r="U1286" s="2"/>
      <c r="V1286" s="2"/>
      <c r="W1286" s="2"/>
      <c r="X1286" s="2"/>
      <c r="Y1286" s="2"/>
      <c r="Z1286" s="2"/>
    </row>
    <row r="1287" spans="19:26" x14ac:dyDescent="0.25">
      <c r="S1287" s="2"/>
      <c r="T1287" s="2"/>
      <c r="U1287" s="2"/>
      <c r="V1287" s="2"/>
      <c r="W1287" s="2"/>
      <c r="X1287" s="2"/>
      <c r="Y1287" s="2"/>
      <c r="Z1287" s="2"/>
    </row>
    <row r="1288" spans="19:26" x14ac:dyDescent="0.25">
      <c r="S1288" s="2"/>
      <c r="T1288" s="2"/>
      <c r="U1288" s="2"/>
      <c r="V1288" s="2"/>
      <c r="W1288" s="2"/>
      <c r="X1288" s="2"/>
      <c r="Y1288" s="2"/>
      <c r="Z1288" s="2"/>
    </row>
    <row r="1289" spans="19:26" x14ac:dyDescent="0.25">
      <c r="S1289" s="2"/>
      <c r="T1289" s="2"/>
      <c r="U1289" s="2"/>
      <c r="V1289" s="2"/>
      <c r="W1289" s="2"/>
      <c r="X1289" s="2"/>
      <c r="Y1289" s="2"/>
      <c r="Z1289" s="2"/>
    </row>
    <row r="1290" spans="19:26" x14ac:dyDescent="0.25">
      <c r="S1290" s="2"/>
      <c r="T1290" s="2"/>
      <c r="U1290" s="2"/>
      <c r="V1290" s="2"/>
      <c r="W1290" s="2"/>
      <c r="X1290" s="2"/>
      <c r="Y1290" s="2"/>
      <c r="Z1290" s="2"/>
    </row>
    <row r="1291" spans="19:26" x14ac:dyDescent="0.25">
      <c r="S1291" s="2"/>
      <c r="T1291" s="2"/>
      <c r="U1291" s="2"/>
      <c r="V1291" s="2"/>
      <c r="W1291" s="2"/>
      <c r="X1291" s="2"/>
      <c r="Y1291" s="2"/>
      <c r="Z1291" s="2"/>
    </row>
    <row r="1292" spans="19:26" x14ac:dyDescent="0.25">
      <c r="S1292" s="2"/>
      <c r="T1292" s="2"/>
      <c r="U1292" s="2"/>
      <c r="V1292" s="2"/>
      <c r="W1292" s="2"/>
      <c r="X1292" s="2"/>
      <c r="Y1292" s="2"/>
      <c r="Z1292" s="2"/>
    </row>
    <row r="1293" spans="19:26" x14ac:dyDescent="0.25">
      <c r="S1293" s="2"/>
      <c r="T1293" s="2"/>
      <c r="U1293" s="2"/>
      <c r="V1293" s="2"/>
      <c r="W1293" s="2"/>
      <c r="X1293" s="2"/>
      <c r="Y1293" s="2"/>
      <c r="Z1293" s="2"/>
    </row>
    <row r="1294" spans="19:26" x14ac:dyDescent="0.25">
      <c r="S1294" s="2"/>
      <c r="T1294" s="2"/>
      <c r="U1294" s="2"/>
      <c r="V1294" s="2"/>
      <c r="W1294" s="2"/>
      <c r="X1294" s="2"/>
      <c r="Y1294" s="2"/>
      <c r="Z1294" s="2"/>
    </row>
    <row r="1295" spans="19:26" x14ac:dyDescent="0.25">
      <c r="S1295" s="2"/>
      <c r="T1295" s="2"/>
      <c r="U1295" s="2"/>
      <c r="V1295" s="2"/>
      <c r="W1295" s="2"/>
      <c r="X1295" s="2"/>
      <c r="Y1295" s="2"/>
      <c r="Z1295" s="2"/>
    </row>
    <row r="1296" spans="19:26" x14ac:dyDescent="0.25">
      <c r="S1296" s="2"/>
      <c r="T1296" s="2"/>
      <c r="U1296" s="2"/>
      <c r="V1296" s="2"/>
      <c r="W1296" s="2"/>
      <c r="X1296" s="2"/>
      <c r="Y1296" s="2"/>
      <c r="Z1296" s="2"/>
    </row>
    <row r="1297" spans="19:26" x14ac:dyDescent="0.25">
      <c r="S1297" s="2"/>
      <c r="T1297" s="2"/>
      <c r="U1297" s="2"/>
      <c r="V1297" s="2"/>
      <c r="W1297" s="2"/>
      <c r="X1297" s="2"/>
      <c r="Y1297" s="2"/>
      <c r="Z1297" s="2"/>
    </row>
    <row r="1298" spans="19:26" x14ac:dyDescent="0.25">
      <c r="S1298" s="2"/>
      <c r="T1298" s="2"/>
      <c r="U1298" s="2"/>
      <c r="V1298" s="2"/>
      <c r="W1298" s="2"/>
      <c r="X1298" s="2"/>
      <c r="Y1298" s="2"/>
      <c r="Z1298" s="2"/>
    </row>
    <row r="1299" spans="19:26" x14ac:dyDescent="0.25">
      <c r="S1299" s="2"/>
      <c r="T1299" s="2"/>
      <c r="U1299" s="2"/>
      <c r="V1299" s="2"/>
      <c r="W1299" s="2"/>
      <c r="X1299" s="2"/>
      <c r="Y1299" s="2"/>
      <c r="Z1299" s="2"/>
    </row>
    <row r="1300" spans="19:26" x14ac:dyDescent="0.25">
      <c r="S1300" s="2"/>
      <c r="T1300" s="2"/>
      <c r="U1300" s="2"/>
      <c r="V1300" s="2"/>
      <c r="W1300" s="2"/>
      <c r="X1300" s="2"/>
      <c r="Y1300" s="2"/>
      <c r="Z1300" s="2"/>
    </row>
    <row r="1301" spans="19:26" x14ac:dyDescent="0.25">
      <c r="S1301" s="2"/>
      <c r="T1301" s="2"/>
      <c r="U1301" s="2"/>
      <c r="V1301" s="2"/>
      <c r="W1301" s="2"/>
      <c r="X1301" s="2"/>
      <c r="Y1301" s="2"/>
      <c r="Z1301" s="2"/>
    </row>
    <row r="1302" spans="19:26" x14ac:dyDescent="0.25">
      <c r="S1302" s="2"/>
      <c r="T1302" s="2"/>
      <c r="U1302" s="2"/>
      <c r="V1302" s="2"/>
      <c r="W1302" s="2"/>
      <c r="X1302" s="2"/>
      <c r="Y1302" s="2"/>
      <c r="Z1302" s="2"/>
    </row>
    <row r="1303" spans="19:26" x14ac:dyDescent="0.25">
      <c r="S1303" s="2"/>
      <c r="T1303" s="2"/>
      <c r="U1303" s="2"/>
      <c r="V1303" s="2"/>
      <c r="W1303" s="2"/>
      <c r="X1303" s="2"/>
      <c r="Y1303" s="2"/>
      <c r="Z1303" s="2"/>
    </row>
    <row r="1304" spans="19:26" x14ac:dyDescent="0.25">
      <c r="S1304" s="2"/>
      <c r="T1304" s="2"/>
      <c r="U1304" s="2"/>
      <c r="V1304" s="2"/>
      <c r="W1304" s="2"/>
      <c r="X1304" s="2"/>
      <c r="Y1304" s="2"/>
      <c r="Z1304" s="2"/>
    </row>
    <row r="1305" spans="19:26" x14ac:dyDescent="0.25">
      <c r="S1305" s="2"/>
      <c r="T1305" s="2"/>
      <c r="U1305" s="2"/>
      <c r="V1305" s="2"/>
      <c r="W1305" s="2"/>
      <c r="X1305" s="2"/>
      <c r="Y1305" s="2"/>
      <c r="Z1305" s="2"/>
    </row>
    <row r="1306" spans="19:26" x14ac:dyDescent="0.25">
      <c r="S1306" s="2"/>
      <c r="T1306" s="2"/>
      <c r="U1306" s="2"/>
      <c r="V1306" s="2"/>
      <c r="W1306" s="2"/>
      <c r="X1306" s="2"/>
      <c r="Y1306" s="2"/>
      <c r="Z1306" s="2"/>
    </row>
    <row r="1307" spans="19:26" x14ac:dyDescent="0.25">
      <c r="S1307" s="2"/>
      <c r="T1307" s="2"/>
      <c r="U1307" s="2"/>
      <c r="V1307" s="2"/>
      <c r="W1307" s="2"/>
      <c r="X1307" s="2"/>
      <c r="Y1307" s="2"/>
      <c r="Z1307" s="2"/>
    </row>
    <row r="1308" spans="19:26" x14ac:dyDescent="0.25">
      <c r="S1308" s="2"/>
      <c r="T1308" s="2"/>
      <c r="U1308" s="2"/>
      <c r="V1308" s="2"/>
      <c r="W1308" s="2"/>
      <c r="X1308" s="2"/>
      <c r="Y1308" s="2"/>
      <c r="Z1308" s="2"/>
    </row>
    <row r="1309" spans="19:26" x14ac:dyDescent="0.25">
      <c r="S1309" s="2"/>
      <c r="T1309" s="2"/>
      <c r="U1309" s="2"/>
      <c r="V1309" s="2"/>
      <c r="W1309" s="2"/>
      <c r="X1309" s="2"/>
      <c r="Y1309" s="2"/>
      <c r="Z1309" s="2"/>
    </row>
    <row r="1310" spans="19:26" x14ac:dyDescent="0.25">
      <c r="S1310" s="2"/>
      <c r="T1310" s="2"/>
      <c r="U1310" s="2"/>
      <c r="V1310" s="2"/>
      <c r="W1310" s="2"/>
      <c r="X1310" s="2"/>
      <c r="Y1310" s="2"/>
      <c r="Z1310" s="2"/>
    </row>
    <row r="1311" spans="19:26" x14ac:dyDescent="0.25">
      <c r="S1311" s="2"/>
      <c r="T1311" s="2"/>
      <c r="U1311" s="2"/>
      <c r="V1311" s="2"/>
      <c r="W1311" s="2"/>
      <c r="X1311" s="2"/>
      <c r="Y1311" s="2"/>
      <c r="Z1311" s="2"/>
    </row>
    <row r="1312" spans="19:26" x14ac:dyDescent="0.25">
      <c r="S1312" s="2"/>
      <c r="T1312" s="2"/>
      <c r="U1312" s="2"/>
      <c r="V1312" s="2"/>
      <c r="W1312" s="2"/>
      <c r="X1312" s="2"/>
      <c r="Y1312" s="2"/>
      <c r="Z1312" s="2"/>
    </row>
    <row r="1313" spans="19:26" x14ac:dyDescent="0.25">
      <c r="S1313" s="2"/>
      <c r="T1313" s="2"/>
      <c r="U1313" s="2"/>
      <c r="V1313" s="2"/>
      <c r="W1313" s="2"/>
      <c r="X1313" s="2"/>
      <c r="Y1313" s="2"/>
      <c r="Z1313" s="2"/>
    </row>
    <row r="1314" spans="19:26" x14ac:dyDescent="0.25">
      <c r="S1314" s="2"/>
      <c r="T1314" s="2"/>
      <c r="U1314" s="2"/>
      <c r="V1314" s="2"/>
      <c r="W1314" s="2"/>
      <c r="X1314" s="2"/>
      <c r="Y1314" s="2"/>
      <c r="Z1314" s="2"/>
    </row>
    <row r="1315" spans="19:26" x14ac:dyDescent="0.25">
      <c r="S1315" s="2"/>
      <c r="T1315" s="2"/>
      <c r="U1315" s="2"/>
      <c r="V1315" s="2"/>
      <c r="W1315" s="2"/>
      <c r="X1315" s="2"/>
      <c r="Y1315" s="2"/>
      <c r="Z1315" s="2"/>
    </row>
    <row r="1316" spans="19:26" x14ac:dyDescent="0.25">
      <c r="S1316" s="2"/>
      <c r="T1316" s="2"/>
      <c r="U1316" s="2"/>
      <c r="V1316" s="2"/>
      <c r="W1316" s="2"/>
      <c r="X1316" s="2"/>
      <c r="Y1316" s="2"/>
      <c r="Z1316" s="2"/>
    </row>
    <row r="1317" spans="19:26" x14ac:dyDescent="0.25">
      <c r="S1317" s="2"/>
      <c r="T1317" s="2"/>
      <c r="U1317" s="2"/>
      <c r="V1317" s="2"/>
      <c r="W1317" s="2"/>
      <c r="X1317" s="2"/>
      <c r="Y1317" s="2"/>
      <c r="Z1317" s="2"/>
    </row>
    <row r="1318" spans="19:26" x14ac:dyDescent="0.25">
      <c r="S1318" s="2"/>
      <c r="T1318" s="2"/>
      <c r="U1318" s="2"/>
      <c r="V1318" s="2"/>
      <c r="W1318" s="2"/>
      <c r="X1318" s="2"/>
      <c r="Y1318" s="2"/>
      <c r="Z1318" s="2"/>
    </row>
    <row r="1319" spans="19:26" x14ac:dyDescent="0.25">
      <c r="S1319" s="2"/>
      <c r="T1319" s="2"/>
      <c r="U1319" s="2"/>
      <c r="V1319" s="2"/>
      <c r="W1319" s="2"/>
      <c r="X1319" s="2"/>
      <c r="Y1319" s="2"/>
      <c r="Z1319" s="2"/>
    </row>
    <row r="1320" spans="19:26" x14ac:dyDescent="0.25">
      <c r="S1320" s="2"/>
      <c r="T1320" s="2"/>
      <c r="U1320" s="2"/>
      <c r="V1320" s="2"/>
      <c r="W1320" s="2"/>
      <c r="X1320" s="2"/>
      <c r="Y1320" s="2"/>
      <c r="Z1320" s="2"/>
    </row>
    <row r="1321" spans="19:26" x14ac:dyDescent="0.25">
      <c r="S1321" s="2"/>
      <c r="T1321" s="2"/>
      <c r="U1321" s="2"/>
      <c r="V1321" s="2"/>
      <c r="W1321" s="2"/>
      <c r="X1321" s="2"/>
      <c r="Y1321" s="2"/>
      <c r="Z1321" s="2"/>
    </row>
    <row r="1322" spans="19:26" x14ac:dyDescent="0.25">
      <c r="S1322" s="2"/>
      <c r="T1322" s="2"/>
      <c r="U1322" s="2"/>
      <c r="V1322" s="2"/>
      <c r="W1322" s="2"/>
      <c r="X1322" s="2"/>
      <c r="Y1322" s="2"/>
      <c r="Z1322" s="2"/>
    </row>
    <row r="1323" spans="19:26" x14ac:dyDescent="0.25">
      <c r="S1323" s="2"/>
      <c r="T1323" s="2"/>
      <c r="U1323" s="2"/>
      <c r="V1323" s="2"/>
      <c r="W1323" s="2"/>
      <c r="X1323" s="2"/>
      <c r="Y1323" s="2"/>
      <c r="Z1323" s="2"/>
    </row>
    <row r="1324" spans="19:26" x14ac:dyDescent="0.25">
      <c r="S1324" s="2"/>
      <c r="T1324" s="2"/>
      <c r="U1324" s="2"/>
      <c r="V1324" s="2"/>
      <c r="W1324" s="2"/>
      <c r="X1324" s="2"/>
      <c r="Y1324" s="2"/>
      <c r="Z1324" s="2"/>
    </row>
    <row r="1325" spans="19:26" x14ac:dyDescent="0.25">
      <c r="S1325" s="2"/>
      <c r="T1325" s="2"/>
      <c r="U1325" s="2"/>
      <c r="V1325" s="2"/>
      <c r="W1325" s="2"/>
      <c r="X1325" s="2"/>
      <c r="Y1325" s="2"/>
      <c r="Z1325" s="2"/>
    </row>
    <row r="1326" spans="19:26" x14ac:dyDescent="0.25">
      <c r="S1326" s="2"/>
      <c r="T1326" s="2"/>
      <c r="U1326" s="2"/>
      <c r="V1326" s="2"/>
      <c r="W1326" s="2"/>
      <c r="X1326" s="2"/>
      <c r="Y1326" s="2"/>
      <c r="Z1326" s="2"/>
    </row>
    <row r="1327" spans="19:26" x14ac:dyDescent="0.25">
      <c r="S1327" s="2"/>
      <c r="T1327" s="2"/>
      <c r="U1327" s="2"/>
      <c r="V1327" s="2"/>
      <c r="W1327" s="2"/>
      <c r="X1327" s="2"/>
      <c r="Y1327" s="2"/>
      <c r="Z1327" s="2"/>
    </row>
    <row r="1328" spans="19:26" x14ac:dyDescent="0.25">
      <c r="S1328" s="2"/>
      <c r="T1328" s="2"/>
      <c r="U1328" s="2"/>
      <c r="V1328" s="2"/>
      <c r="W1328" s="2"/>
      <c r="X1328" s="2"/>
      <c r="Y1328" s="2"/>
      <c r="Z1328" s="2"/>
    </row>
    <row r="1329" spans="19:26" x14ac:dyDescent="0.25">
      <c r="S1329" s="2"/>
      <c r="T1329" s="2"/>
      <c r="U1329" s="2"/>
      <c r="V1329" s="2"/>
      <c r="W1329" s="2"/>
      <c r="X1329" s="2"/>
      <c r="Y1329" s="2"/>
      <c r="Z1329" s="2"/>
    </row>
    <row r="1330" spans="19:26" x14ac:dyDescent="0.25">
      <c r="S1330" s="2"/>
      <c r="T1330" s="2"/>
      <c r="U1330" s="2"/>
      <c r="V1330" s="2"/>
      <c r="W1330" s="2"/>
      <c r="X1330" s="2"/>
      <c r="Y1330" s="2"/>
      <c r="Z1330" s="2"/>
    </row>
    <row r="1331" spans="19:26" x14ac:dyDescent="0.25">
      <c r="S1331" s="2"/>
      <c r="T1331" s="2"/>
      <c r="U1331" s="2"/>
      <c r="V1331" s="2"/>
      <c r="W1331" s="2"/>
      <c r="X1331" s="2"/>
      <c r="Y1331" s="2"/>
      <c r="Z1331" s="2"/>
    </row>
    <row r="1332" spans="19:26" x14ac:dyDescent="0.25">
      <c r="S1332" s="2"/>
      <c r="T1332" s="2"/>
      <c r="U1332" s="2"/>
      <c r="V1332" s="2"/>
      <c r="W1332" s="2"/>
      <c r="X1332" s="2"/>
      <c r="Y1332" s="2"/>
      <c r="Z1332" s="2"/>
    </row>
    <row r="1333" spans="19:26" x14ac:dyDescent="0.25">
      <c r="S1333" s="2"/>
      <c r="T1333" s="2"/>
      <c r="U1333" s="2"/>
      <c r="V1333" s="2"/>
      <c r="W1333" s="2"/>
      <c r="X1333" s="2"/>
      <c r="Y1333" s="2"/>
      <c r="Z1333" s="2"/>
    </row>
    <row r="1334" spans="19:26" x14ac:dyDescent="0.25">
      <c r="S1334" s="2"/>
      <c r="T1334" s="2"/>
      <c r="U1334" s="2"/>
      <c r="V1334" s="2"/>
      <c r="W1334" s="2"/>
      <c r="X1334" s="2"/>
      <c r="Y1334" s="2"/>
      <c r="Z1334" s="2"/>
    </row>
    <row r="1335" spans="19:26" x14ac:dyDescent="0.25">
      <c r="S1335" s="2"/>
      <c r="T1335" s="2"/>
      <c r="U1335" s="2"/>
      <c r="V1335" s="2"/>
      <c r="W1335" s="2"/>
      <c r="X1335" s="2"/>
      <c r="Y1335" s="2"/>
      <c r="Z1335" s="2"/>
    </row>
    <row r="1336" spans="19:26" x14ac:dyDescent="0.25">
      <c r="S1336" s="2"/>
      <c r="T1336" s="2"/>
      <c r="U1336" s="2"/>
      <c r="V1336" s="2"/>
      <c r="W1336" s="2"/>
      <c r="X1336" s="2"/>
      <c r="Y1336" s="2"/>
      <c r="Z1336" s="2"/>
    </row>
    <row r="1337" spans="19:26" x14ac:dyDescent="0.25">
      <c r="S1337" s="2"/>
      <c r="T1337" s="2"/>
      <c r="U1337" s="2"/>
      <c r="V1337" s="2"/>
      <c r="W1337" s="2"/>
      <c r="X1337" s="2"/>
      <c r="Y1337" s="2"/>
      <c r="Z1337" s="2"/>
    </row>
    <row r="1338" spans="19:26" x14ac:dyDescent="0.25">
      <c r="S1338" s="2"/>
      <c r="T1338" s="2"/>
      <c r="U1338" s="2"/>
      <c r="V1338" s="2"/>
      <c r="W1338" s="2"/>
      <c r="X1338" s="2"/>
      <c r="Y1338" s="2"/>
      <c r="Z1338" s="2"/>
    </row>
    <row r="1339" spans="19:26" x14ac:dyDescent="0.25">
      <c r="S1339" s="2"/>
      <c r="T1339" s="2"/>
      <c r="U1339" s="2"/>
      <c r="V1339" s="2"/>
      <c r="W1339" s="2"/>
      <c r="X1339" s="2"/>
      <c r="Y1339" s="2"/>
      <c r="Z1339" s="2"/>
    </row>
    <row r="1340" spans="19:26" x14ac:dyDescent="0.25">
      <c r="S1340" s="2"/>
      <c r="T1340" s="2"/>
      <c r="U1340" s="2"/>
      <c r="V1340" s="2"/>
      <c r="W1340" s="2"/>
      <c r="X1340" s="2"/>
      <c r="Y1340" s="2"/>
      <c r="Z1340" s="2"/>
    </row>
    <row r="1341" spans="19:26" x14ac:dyDescent="0.25">
      <c r="S1341" s="2"/>
      <c r="T1341" s="2"/>
      <c r="U1341" s="2"/>
      <c r="V1341" s="2"/>
      <c r="W1341" s="2"/>
      <c r="X1341" s="2"/>
      <c r="Y1341" s="2"/>
      <c r="Z1341" s="2"/>
    </row>
    <row r="1342" spans="19:26" x14ac:dyDescent="0.25">
      <c r="S1342" s="2"/>
      <c r="T1342" s="2"/>
      <c r="U1342" s="2"/>
      <c r="V1342" s="2"/>
      <c r="W1342" s="2"/>
      <c r="X1342" s="2"/>
      <c r="Y1342" s="2"/>
      <c r="Z1342" s="2"/>
    </row>
    <row r="1343" spans="19:26" x14ac:dyDescent="0.25">
      <c r="S1343" s="2"/>
      <c r="T1343" s="2"/>
      <c r="U1343" s="2"/>
      <c r="V1343" s="2"/>
      <c r="W1343" s="2"/>
      <c r="X1343" s="2"/>
      <c r="Y1343" s="2"/>
      <c r="Z1343" s="2"/>
    </row>
    <row r="1344" spans="19:26" x14ac:dyDescent="0.25">
      <c r="S1344" s="2"/>
      <c r="T1344" s="2"/>
      <c r="U1344" s="2"/>
      <c r="V1344" s="2"/>
      <c r="W1344" s="2"/>
      <c r="X1344" s="2"/>
      <c r="Y1344" s="2"/>
      <c r="Z1344" s="2"/>
    </row>
    <row r="1345" spans="19:26" x14ac:dyDescent="0.25">
      <c r="S1345" s="2"/>
      <c r="T1345" s="2"/>
      <c r="U1345" s="2"/>
      <c r="V1345" s="2"/>
      <c r="W1345" s="2"/>
      <c r="X1345" s="2"/>
      <c r="Y1345" s="2"/>
      <c r="Z1345" s="2"/>
    </row>
    <row r="1346" spans="19:26" x14ac:dyDescent="0.25">
      <c r="S1346" s="2"/>
      <c r="T1346" s="2"/>
      <c r="U1346" s="2"/>
      <c r="V1346" s="2"/>
      <c r="W1346" s="2"/>
      <c r="X1346" s="2"/>
      <c r="Y1346" s="2"/>
      <c r="Z1346" s="2"/>
    </row>
    <row r="1347" spans="19:26" x14ac:dyDescent="0.25">
      <c r="S1347" s="2"/>
      <c r="T1347" s="2"/>
      <c r="U1347" s="2"/>
      <c r="V1347" s="2"/>
      <c r="W1347" s="2"/>
      <c r="X1347" s="2"/>
      <c r="Y1347" s="2"/>
      <c r="Z1347" s="2"/>
    </row>
    <row r="1348" spans="19:26" x14ac:dyDescent="0.25">
      <c r="S1348" s="2"/>
      <c r="T1348" s="2"/>
      <c r="U1348" s="2"/>
      <c r="V1348" s="2"/>
      <c r="W1348" s="2"/>
      <c r="X1348" s="2"/>
      <c r="Y1348" s="2"/>
      <c r="Z1348" s="2"/>
    </row>
    <row r="1349" spans="19:26" x14ac:dyDescent="0.25">
      <c r="S1349" s="2"/>
      <c r="T1349" s="2"/>
      <c r="U1349" s="2"/>
      <c r="V1349" s="2"/>
      <c r="W1349" s="2"/>
      <c r="X1349" s="2"/>
      <c r="Y1349" s="2"/>
      <c r="Z1349" s="2"/>
    </row>
    <row r="1350" spans="19:26" x14ac:dyDescent="0.25">
      <c r="S1350" s="2"/>
      <c r="T1350" s="2"/>
      <c r="U1350" s="2"/>
      <c r="V1350" s="2"/>
      <c r="W1350" s="2"/>
      <c r="X1350" s="2"/>
      <c r="Y1350" s="2"/>
      <c r="Z1350" s="2"/>
    </row>
    <row r="1351" spans="19:26" x14ac:dyDescent="0.25">
      <c r="S1351" s="2"/>
      <c r="T1351" s="2"/>
      <c r="U1351" s="2"/>
      <c r="V1351" s="2"/>
      <c r="W1351" s="2"/>
      <c r="X1351" s="2"/>
      <c r="Y1351" s="2"/>
      <c r="Z1351" s="2"/>
    </row>
    <row r="1352" spans="19:26" x14ac:dyDescent="0.25">
      <c r="S1352" s="2"/>
      <c r="T1352" s="2"/>
      <c r="U1352" s="2"/>
      <c r="V1352" s="2"/>
      <c r="W1352" s="2"/>
      <c r="X1352" s="2"/>
      <c r="Y1352" s="2"/>
      <c r="Z1352" s="2"/>
    </row>
    <row r="1353" spans="19:26" x14ac:dyDescent="0.25">
      <c r="S1353" s="2"/>
      <c r="T1353" s="2"/>
      <c r="U1353" s="2"/>
      <c r="V1353" s="2"/>
      <c r="W1353" s="2"/>
      <c r="X1353" s="2"/>
      <c r="Y1353" s="2"/>
      <c r="Z1353" s="2"/>
    </row>
    <row r="1354" spans="19:26" x14ac:dyDescent="0.25">
      <c r="S1354" s="2"/>
      <c r="T1354" s="2"/>
      <c r="U1354" s="2"/>
      <c r="V1354" s="2"/>
      <c r="W1354" s="2"/>
      <c r="X1354" s="2"/>
      <c r="Y1354" s="2"/>
      <c r="Z1354" s="2"/>
    </row>
    <row r="1355" spans="19:26" x14ac:dyDescent="0.25">
      <c r="S1355" s="2"/>
      <c r="T1355" s="2"/>
      <c r="U1355" s="2"/>
      <c r="V1355" s="2"/>
      <c r="W1355" s="2"/>
      <c r="X1355" s="2"/>
      <c r="Y1355" s="2"/>
      <c r="Z1355" s="2"/>
    </row>
    <row r="1356" spans="19:26" x14ac:dyDescent="0.25">
      <c r="S1356" s="2"/>
      <c r="T1356" s="2"/>
      <c r="U1356" s="2"/>
      <c r="V1356" s="2"/>
      <c r="W1356" s="2"/>
      <c r="X1356" s="2"/>
      <c r="Y1356" s="2"/>
      <c r="Z1356" s="2"/>
    </row>
    <row r="1357" spans="19:26" x14ac:dyDescent="0.25">
      <c r="S1357" s="2"/>
      <c r="T1357" s="2"/>
      <c r="U1357" s="2"/>
      <c r="V1357" s="2"/>
      <c r="W1357" s="2"/>
      <c r="X1357" s="2"/>
      <c r="Y1357" s="2"/>
      <c r="Z1357" s="2"/>
    </row>
    <row r="1358" spans="19:26" x14ac:dyDescent="0.25">
      <c r="S1358" s="2"/>
      <c r="T1358" s="2"/>
      <c r="U1358" s="2"/>
      <c r="V1358" s="2"/>
      <c r="W1358" s="2"/>
      <c r="X1358" s="2"/>
      <c r="Y1358" s="2"/>
      <c r="Z1358" s="2"/>
    </row>
    <row r="1359" spans="19:26" x14ac:dyDescent="0.25">
      <c r="S1359" s="2"/>
      <c r="T1359" s="2"/>
      <c r="U1359" s="2"/>
      <c r="V1359" s="2"/>
      <c r="W1359" s="2"/>
      <c r="X1359" s="2"/>
      <c r="Y1359" s="2"/>
      <c r="Z1359" s="2"/>
    </row>
    <row r="1360" spans="19:26" x14ac:dyDescent="0.25">
      <c r="S1360" s="2"/>
      <c r="T1360" s="2"/>
      <c r="U1360" s="2"/>
      <c r="V1360" s="2"/>
      <c r="W1360" s="2"/>
      <c r="X1360" s="2"/>
      <c r="Y1360" s="2"/>
      <c r="Z1360" s="2"/>
    </row>
    <row r="1361" spans="19:26" x14ac:dyDescent="0.25">
      <c r="S1361" s="2"/>
      <c r="T1361" s="2"/>
      <c r="U1361" s="2"/>
      <c r="V1361" s="2"/>
      <c r="W1361" s="2"/>
      <c r="X1361" s="2"/>
      <c r="Y1361" s="2"/>
      <c r="Z1361" s="2"/>
    </row>
    <row r="1362" spans="19:26" x14ac:dyDescent="0.25">
      <c r="S1362" s="2"/>
      <c r="T1362" s="2"/>
      <c r="U1362" s="2"/>
      <c r="V1362" s="2"/>
      <c r="W1362" s="2"/>
      <c r="X1362" s="2"/>
      <c r="Y1362" s="2"/>
      <c r="Z1362" s="2"/>
    </row>
    <row r="1363" spans="19:26" x14ac:dyDescent="0.25">
      <c r="S1363" s="2"/>
      <c r="T1363" s="2"/>
      <c r="U1363" s="2"/>
      <c r="V1363" s="2"/>
      <c r="W1363" s="2"/>
      <c r="X1363" s="2"/>
      <c r="Y1363" s="2"/>
      <c r="Z1363" s="2"/>
    </row>
    <row r="1364" spans="19:26" x14ac:dyDescent="0.25">
      <c r="S1364" s="2"/>
      <c r="T1364" s="2"/>
      <c r="U1364" s="2"/>
      <c r="V1364" s="2"/>
      <c r="W1364" s="2"/>
      <c r="X1364" s="2"/>
      <c r="Y1364" s="2"/>
      <c r="Z1364" s="2"/>
    </row>
    <row r="1365" spans="19:26" x14ac:dyDescent="0.25">
      <c r="S1365" s="2"/>
      <c r="T1365" s="2"/>
      <c r="U1365" s="2"/>
      <c r="V1365" s="2"/>
      <c r="W1365" s="2"/>
      <c r="X1365" s="2"/>
      <c r="Y1365" s="2"/>
      <c r="Z1365" s="2"/>
    </row>
    <row r="1366" spans="19:26" x14ac:dyDescent="0.25">
      <c r="S1366" s="2"/>
      <c r="T1366" s="2"/>
      <c r="U1366" s="2"/>
      <c r="V1366" s="2"/>
      <c r="W1366" s="2"/>
      <c r="X1366" s="2"/>
      <c r="Y1366" s="2"/>
      <c r="Z1366" s="2"/>
    </row>
    <row r="1367" spans="19:26" x14ac:dyDescent="0.25">
      <c r="S1367" s="2"/>
      <c r="T1367" s="2"/>
      <c r="U1367" s="2"/>
      <c r="V1367" s="2"/>
      <c r="W1367" s="2"/>
      <c r="X1367" s="2"/>
      <c r="Y1367" s="2"/>
      <c r="Z1367" s="2"/>
    </row>
    <row r="1368" spans="19:26" x14ac:dyDescent="0.25">
      <c r="S1368" s="2"/>
      <c r="T1368" s="2"/>
      <c r="U1368" s="2"/>
      <c r="V1368" s="2"/>
      <c r="W1368" s="2"/>
      <c r="X1368" s="2"/>
      <c r="Y1368" s="2"/>
      <c r="Z1368" s="2"/>
    </row>
    <row r="1369" spans="19:26" x14ac:dyDescent="0.25">
      <c r="S1369" s="2"/>
      <c r="T1369" s="2"/>
      <c r="U1369" s="2"/>
      <c r="V1369" s="2"/>
      <c r="W1369" s="2"/>
      <c r="X1369" s="2"/>
      <c r="Y1369" s="2"/>
      <c r="Z1369" s="2"/>
    </row>
    <row r="1370" spans="19:26" x14ac:dyDescent="0.25">
      <c r="S1370" s="2"/>
      <c r="T1370" s="2"/>
      <c r="U1370" s="2"/>
      <c r="V1370" s="2"/>
      <c r="W1370" s="2"/>
      <c r="X1370" s="2"/>
      <c r="Y1370" s="2"/>
      <c r="Z1370" s="2"/>
    </row>
    <row r="1371" spans="19:26" x14ac:dyDescent="0.25">
      <c r="S1371" s="2"/>
      <c r="T1371" s="2"/>
      <c r="U1371" s="2"/>
      <c r="V1371" s="2"/>
      <c r="W1371" s="2"/>
      <c r="X1371" s="2"/>
      <c r="Y1371" s="2"/>
      <c r="Z1371" s="2"/>
    </row>
    <row r="1372" spans="19:26" x14ac:dyDescent="0.25">
      <c r="S1372" s="2"/>
      <c r="T1372" s="2"/>
      <c r="U1372" s="2"/>
      <c r="V1372" s="2"/>
      <c r="W1372" s="2"/>
      <c r="X1372" s="2"/>
      <c r="Y1372" s="2"/>
      <c r="Z1372" s="2"/>
    </row>
    <row r="1373" spans="19:26" x14ac:dyDescent="0.25">
      <c r="S1373" s="2"/>
      <c r="T1373" s="2"/>
      <c r="U1373" s="2"/>
      <c r="V1373" s="2"/>
      <c r="W1373" s="2"/>
      <c r="X1373" s="2"/>
      <c r="Y1373" s="2"/>
      <c r="Z1373" s="2"/>
    </row>
    <row r="1374" spans="19:26" x14ac:dyDescent="0.25">
      <c r="S1374" s="2"/>
      <c r="T1374" s="2"/>
      <c r="U1374" s="2"/>
      <c r="V1374" s="2"/>
      <c r="W1374" s="2"/>
      <c r="X1374" s="2"/>
      <c r="Y1374" s="2"/>
      <c r="Z1374" s="2"/>
    </row>
    <row r="1375" spans="19:26" x14ac:dyDescent="0.25">
      <c r="S1375" s="2"/>
      <c r="T1375" s="2"/>
      <c r="U1375" s="2"/>
      <c r="V1375" s="2"/>
      <c r="W1375" s="2"/>
      <c r="X1375" s="2"/>
      <c r="Y1375" s="2"/>
      <c r="Z1375" s="2"/>
    </row>
    <row r="1376" spans="19:26" x14ac:dyDescent="0.25">
      <c r="S1376" s="2"/>
      <c r="T1376" s="2"/>
      <c r="U1376" s="2"/>
      <c r="V1376" s="2"/>
      <c r="W1376" s="2"/>
      <c r="X1376" s="2"/>
      <c r="Y1376" s="2"/>
      <c r="Z1376" s="2"/>
    </row>
    <row r="1377" spans="19:26" x14ac:dyDescent="0.25">
      <c r="S1377" s="2"/>
      <c r="T1377" s="2"/>
      <c r="U1377" s="2"/>
      <c r="V1377" s="2"/>
      <c r="W1377" s="2"/>
      <c r="X1377" s="2"/>
      <c r="Y1377" s="2"/>
      <c r="Z1377" s="2"/>
    </row>
    <row r="1378" spans="19:26" x14ac:dyDescent="0.25">
      <c r="S1378" s="2"/>
      <c r="T1378" s="2"/>
      <c r="U1378" s="2"/>
      <c r="V1378" s="2"/>
      <c r="W1378" s="2"/>
      <c r="X1378" s="2"/>
      <c r="Y1378" s="2"/>
      <c r="Z1378" s="2"/>
    </row>
    <row r="1379" spans="19:26" x14ac:dyDescent="0.25">
      <c r="S1379" s="2"/>
      <c r="T1379" s="2"/>
      <c r="U1379" s="2"/>
      <c r="V1379" s="2"/>
      <c r="W1379" s="2"/>
      <c r="X1379" s="2"/>
      <c r="Y1379" s="2"/>
      <c r="Z1379" s="2"/>
    </row>
    <row r="1380" spans="19:26" x14ac:dyDescent="0.25">
      <c r="S1380" s="2"/>
      <c r="T1380" s="2"/>
      <c r="U1380" s="2"/>
      <c r="V1380" s="2"/>
      <c r="W1380" s="2"/>
      <c r="X1380" s="2"/>
      <c r="Y1380" s="2"/>
      <c r="Z1380" s="2"/>
    </row>
    <row r="1381" spans="19:26" x14ac:dyDescent="0.25">
      <c r="S1381" s="2"/>
      <c r="T1381" s="2"/>
      <c r="U1381" s="2"/>
      <c r="V1381" s="2"/>
      <c r="W1381" s="2"/>
      <c r="X1381" s="2"/>
      <c r="Y1381" s="2"/>
      <c r="Z1381" s="2"/>
    </row>
    <row r="1382" spans="19:26" x14ac:dyDescent="0.25">
      <c r="S1382" s="2"/>
      <c r="T1382" s="2"/>
      <c r="U1382" s="2"/>
      <c r="V1382" s="2"/>
      <c r="W1382" s="2"/>
      <c r="X1382" s="2"/>
      <c r="Y1382" s="2"/>
      <c r="Z1382" s="2"/>
    </row>
    <row r="1383" spans="19:26" x14ac:dyDescent="0.25">
      <c r="S1383" s="2"/>
      <c r="T1383" s="2"/>
      <c r="U1383" s="2"/>
      <c r="V1383" s="2"/>
      <c r="W1383" s="2"/>
      <c r="X1383" s="2"/>
      <c r="Y1383" s="2"/>
      <c r="Z1383" s="2"/>
    </row>
    <row r="1384" spans="19:26" x14ac:dyDescent="0.25">
      <c r="S1384" s="2"/>
      <c r="T1384" s="2"/>
      <c r="U1384" s="2"/>
      <c r="V1384" s="2"/>
      <c r="W1384" s="2"/>
      <c r="X1384" s="2"/>
      <c r="Y1384" s="2"/>
      <c r="Z1384" s="2"/>
    </row>
    <row r="1385" spans="19:26" x14ac:dyDescent="0.25">
      <c r="S1385" s="2"/>
      <c r="T1385" s="2"/>
      <c r="U1385" s="2"/>
      <c r="V1385" s="2"/>
      <c r="W1385" s="2"/>
      <c r="X1385" s="2"/>
      <c r="Y1385" s="2"/>
      <c r="Z1385" s="2"/>
    </row>
    <row r="1386" spans="19:26" x14ac:dyDescent="0.25">
      <c r="S1386" s="2"/>
      <c r="T1386" s="2"/>
      <c r="U1386" s="2"/>
      <c r="V1386" s="2"/>
      <c r="W1386" s="2"/>
      <c r="X1386" s="2"/>
      <c r="Y1386" s="2"/>
      <c r="Z1386" s="2"/>
    </row>
    <row r="1387" spans="19:26" x14ac:dyDescent="0.25">
      <c r="S1387" s="2"/>
      <c r="T1387" s="2"/>
      <c r="U1387" s="2"/>
      <c r="V1387" s="2"/>
      <c r="W1387" s="2"/>
      <c r="X1387" s="2"/>
      <c r="Y1387" s="2"/>
      <c r="Z1387" s="2"/>
    </row>
    <row r="1388" spans="19:26" x14ac:dyDescent="0.25">
      <c r="S1388" s="2"/>
      <c r="T1388" s="2"/>
      <c r="U1388" s="2"/>
      <c r="V1388" s="2"/>
      <c r="W1388" s="2"/>
      <c r="X1388" s="2"/>
      <c r="Y1388" s="2"/>
      <c r="Z1388" s="2"/>
    </row>
    <row r="1389" spans="19:26" x14ac:dyDescent="0.25">
      <c r="S1389" s="2"/>
      <c r="T1389" s="2"/>
      <c r="U1389" s="2"/>
      <c r="V1389" s="2"/>
      <c r="W1389" s="2"/>
      <c r="X1389" s="2"/>
      <c r="Y1389" s="2"/>
      <c r="Z1389" s="2"/>
    </row>
    <row r="1390" spans="19:26" x14ac:dyDescent="0.25">
      <c r="S1390" s="2"/>
      <c r="T1390" s="2"/>
      <c r="U1390" s="2"/>
      <c r="V1390" s="2"/>
      <c r="W1390" s="2"/>
      <c r="X1390" s="2"/>
      <c r="Y1390" s="2"/>
      <c r="Z1390" s="2"/>
    </row>
    <row r="1391" spans="19:26" x14ac:dyDescent="0.25">
      <c r="S1391" s="2"/>
      <c r="T1391" s="2"/>
      <c r="U1391" s="2"/>
      <c r="V1391" s="2"/>
      <c r="W1391" s="2"/>
      <c r="X1391" s="2"/>
      <c r="Y1391" s="2"/>
      <c r="Z1391" s="2"/>
    </row>
    <row r="1392" spans="19:26" x14ac:dyDescent="0.25">
      <c r="S1392" s="2"/>
      <c r="T1392" s="2"/>
      <c r="U1392" s="2"/>
      <c r="V1392" s="2"/>
      <c r="W1392" s="2"/>
      <c r="X1392" s="2"/>
      <c r="Y1392" s="2"/>
      <c r="Z1392" s="2"/>
    </row>
    <row r="1393" spans="19:26" x14ac:dyDescent="0.25">
      <c r="S1393" s="2"/>
      <c r="T1393" s="2"/>
      <c r="U1393" s="2"/>
      <c r="V1393" s="2"/>
      <c r="W1393" s="2"/>
      <c r="X1393" s="2"/>
      <c r="Y1393" s="2"/>
      <c r="Z1393" s="2"/>
    </row>
    <row r="1394" spans="19:26" x14ac:dyDescent="0.25">
      <c r="S1394" s="2"/>
      <c r="T1394" s="2"/>
      <c r="U1394" s="2"/>
      <c r="V1394" s="2"/>
      <c r="W1394" s="2"/>
      <c r="X1394" s="2"/>
      <c r="Y1394" s="2"/>
      <c r="Z1394" s="2"/>
    </row>
    <row r="1395" spans="19:26" x14ac:dyDescent="0.25">
      <c r="S1395" s="2"/>
      <c r="T1395" s="2"/>
      <c r="U1395" s="2"/>
      <c r="V1395" s="2"/>
      <c r="W1395" s="2"/>
      <c r="X1395" s="2"/>
      <c r="Y1395" s="2"/>
      <c r="Z1395" s="2"/>
    </row>
    <row r="1396" spans="19:26" x14ac:dyDescent="0.25">
      <c r="S1396" s="2"/>
      <c r="T1396" s="2"/>
      <c r="U1396" s="2"/>
      <c r="V1396" s="2"/>
      <c r="W1396" s="2"/>
      <c r="X1396" s="2"/>
      <c r="Y1396" s="2"/>
      <c r="Z1396" s="2"/>
    </row>
    <row r="1397" spans="19:26" x14ac:dyDescent="0.25">
      <c r="S1397" s="2"/>
      <c r="T1397" s="2"/>
      <c r="U1397" s="2"/>
      <c r="V1397" s="2"/>
      <c r="W1397" s="2"/>
      <c r="X1397" s="2"/>
      <c r="Y1397" s="2"/>
      <c r="Z1397" s="2"/>
    </row>
    <row r="1398" spans="19:26" x14ac:dyDescent="0.25">
      <c r="S1398" s="2"/>
      <c r="T1398" s="2"/>
      <c r="U1398" s="2"/>
      <c r="V1398" s="2"/>
      <c r="W1398" s="2"/>
      <c r="X1398" s="2"/>
      <c r="Y1398" s="2"/>
      <c r="Z1398" s="2"/>
    </row>
    <row r="1399" spans="19:26" x14ac:dyDescent="0.25">
      <c r="S1399" s="2"/>
      <c r="T1399" s="2"/>
      <c r="U1399" s="2"/>
      <c r="V1399" s="2"/>
      <c r="W1399" s="2"/>
      <c r="X1399" s="2"/>
      <c r="Y1399" s="2"/>
      <c r="Z1399" s="2"/>
    </row>
    <row r="1400" spans="19:26" x14ac:dyDescent="0.25">
      <c r="S1400" s="2"/>
      <c r="T1400" s="2"/>
      <c r="U1400" s="2"/>
      <c r="V1400" s="2"/>
      <c r="W1400" s="2"/>
      <c r="X1400" s="2"/>
      <c r="Y1400" s="2"/>
      <c r="Z1400" s="2"/>
    </row>
    <row r="1401" spans="19:26" x14ac:dyDescent="0.25">
      <c r="S1401" s="2"/>
      <c r="T1401" s="2"/>
      <c r="U1401" s="2"/>
      <c r="V1401" s="2"/>
      <c r="W1401" s="2"/>
      <c r="X1401" s="2"/>
      <c r="Y1401" s="2"/>
      <c r="Z1401" s="2"/>
    </row>
    <row r="1402" spans="19:26" x14ac:dyDescent="0.25">
      <c r="S1402" s="2"/>
      <c r="T1402" s="2"/>
      <c r="U1402" s="2"/>
      <c r="V1402" s="2"/>
      <c r="W1402" s="2"/>
      <c r="X1402" s="2"/>
      <c r="Y1402" s="2"/>
      <c r="Z1402" s="2"/>
    </row>
    <row r="1403" spans="19:26" x14ac:dyDescent="0.25">
      <c r="S1403" s="2"/>
      <c r="T1403" s="2"/>
      <c r="U1403" s="2"/>
      <c r="V1403" s="2"/>
      <c r="W1403" s="2"/>
      <c r="X1403" s="2"/>
      <c r="Y1403" s="2"/>
      <c r="Z1403" s="2"/>
    </row>
    <row r="1404" spans="19:26" x14ac:dyDescent="0.25">
      <c r="S1404" s="2"/>
      <c r="T1404" s="2"/>
      <c r="U1404" s="2"/>
      <c r="V1404" s="2"/>
      <c r="W1404" s="2"/>
      <c r="X1404" s="2"/>
      <c r="Y1404" s="2"/>
      <c r="Z1404" s="2"/>
    </row>
    <row r="1405" spans="19:26" x14ac:dyDescent="0.25">
      <c r="S1405" s="2"/>
      <c r="T1405" s="2"/>
      <c r="U1405" s="2"/>
      <c r="V1405" s="2"/>
      <c r="W1405" s="2"/>
      <c r="X1405" s="2"/>
      <c r="Y1405" s="2"/>
      <c r="Z1405" s="2"/>
    </row>
    <row r="1406" spans="19:26" x14ac:dyDescent="0.25">
      <c r="S1406" s="2"/>
      <c r="T1406" s="2"/>
      <c r="U1406" s="2"/>
      <c r="V1406" s="2"/>
      <c r="W1406" s="2"/>
      <c r="X1406" s="2"/>
      <c r="Y1406" s="2"/>
      <c r="Z1406" s="2"/>
    </row>
    <row r="1407" spans="19:26" x14ac:dyDescent="0.25">
      <c r="S1407" s="2"/>
      <c r="T1407" s="2"/>
      <c r="U1407" s="2"/>
      <c r="V1407" s="2"/>
      <c r="W1407" s="2"/>
      <c r="X1407" s="2"/>
      <c r="Y1407" s="2"/>
      <c r="Z1407" s="2"/>
    </row>
    <row r="1408" spans="19:26" x14ac:dyDescent="0.25">
      <c r="S1408" s="2"/>
      <c r="T1408" s="2"/>
      <c r="U1408" s="2"/>
      <c r="V1408" s="2"/>
      <c r="W1408" s="2"/>
      <c r="X1408" s="2"/>
      <c r="Y1408" s="2"/>
      <c r="Z1408" s="2"/>
    </row>
    <row r="1409" spans="19:26" x14ac:dyDescent="0.25">
      <c r="S1409" s="2"/>
      <c r="T1409" s="2"/>
      <c r="U1409" s="2"/>
      <c r="V1409" s="2"/>
      <c r="W1409" s="2"/>
      <c r="X1409" s="2"/>
      <c r="Y1409" s="2"/>
      <c r="Z1409" s="2"/>
    </row>
    <row r="1410" spans="19:26" x14ac:dyDescent="0.25">
      <c r="S1410" s="2"/>
      <c r="T1410" s="2"/>
      <c r="U1410" s="2"/>
      <c r="V1410" s="2"/>
      <c r="W1410" s="2"/>
      <c r="X1410" s="2"/>
      <c r="Y1410" s="2"/>
      <c r="Z1410" s="2"/>
    </row>
    <row r="1411" spans="19:26" x14ac:dyDescent="0.25">
      <c r="S1411" s="2"/>
      <c r="T1411" s="2"/>
      <c r="U1411" s="2"/>
      <c r="V1411" s="2"/>
      <c r="W1411" s="2"/>
      <c r="X1411" s="2"/>
      <c r="Y1411" s="2"/>
      <c r="Z1411" s="2"/>
    </row>
    <row r="1412" spans="19:26" x14ac:dyDescent="0.25">
      <c r="S1412" s="2"/>
      <c r="T1412" s="2"/>
      <c r="U1412" s="2"/>
      <c r="V1412" s="2"/>
      <c r="W1412" s="2"/>
      <c r="X1412" s="2"/>
      <c r="Y1412" s="2"/>
      <c r="Z1412" s="2"/>
    </row>
    <row r="1413" spans="19:26" x14ac:dyDescent="0.25">
      <c r="S1413" s="2"/>
      <c r="T1413" s="2"/>
      <c r="U1413" s="2"/>
      <c r="V1413" s="2"/>
      <c r="W1413" s="2"/>
      <c r="X1413" s="2"/>
      <c r="Y1413" s="2"/>
      <c r="Z1413" s="2"/>
    </row>
    <row r="1414" spans="19:26" x14ac:dyDescent="0.25">
      <c r="S1414" s="2"/>
      <c r="T1414" s="2"/>
      <c r="U1414" s="2"/>
      <c r="V1414" s="2"/>
      <c r="W1414" s="2"/>
      <c r="X1414" s="2"/>
      <c r="Y1414" s="2"/>
      <c r="Z1414" s="2"/>
    </row>
    <row r="1415" spans="19:26" x14ac:dyDescent="0.25">
      <c r="S1415" s="2"/>
      <c r="T1415" s="2"/>
      <c r="U1415" s="2"/>
      <c r="V1415" s="2"/>
      <c r="W1415" s="2"/>
      <c r="X1415" s="2"/>
      <c r="Y1415" s="2"/>
      <c r="Z1415" s="2"/>
    </row>
    <row r="1416" spans="19:26" x14ac:dyDescent="0.25">
      <c r="S1416" s="2"/>
      <c r="T1416" s="2"/>
      <c r="U1416" s="2"/>
      <c r="V1416" s="2"/>
      <c r="W1416" s="2"/>
      <c r="X1416" s="2"/>
      <c r="Y1416" s="2"/>
      <c r="Z1416" s="2"/>
    </row>
    <row r="1417" spans="19:26" x14ac:dyDescent="0.25">
      <c r="S1417" s="2"/>
      <c r="T1417" s="2"/>
      <c r="U1417" s="2"/>
      <c r="V1417" s="2"/>
      <c r="W1417" s="2"/>
      <c r="X1417" s="2"/>
      <c r="Y1417" s="2"/>
      <c r="Z1417" s="2"/>
    </row>
    <row r="1418" spans="19:26" x14ac:dyDescent="0.25">
      <c r="S1418" s="2"/>
      <c r="T1418" s="2"/>
      <c r="U1418" s="2"/>
      <c r="V1418" s="2"/>
      <c r="W1418" s="2"/>
      <c r="X1418" s="2"/>
      <c r="Y1418" s="2"/>
      <c r="Z1418" s="2"/>
    </row>
    <row r="1419" spans="19:26" x14ac:dyDescent="0.25">
      <c r="S1419" s="2"/>
      <c r="T1419" s="2"/>
      <c r="U1419" s="2"/>
      <c r="V1419" s="2"/>
      <c r="W1419" s="2"/>
      <c r="X1419" s="2"/>
      <c r="Y1419" s="2"/>
      <c r="Z1419" s="2"/>
    </row>
    <row r="1420" spans="19:26" x14ac:dyDescent="0.25">
      <c r="S1420" s="2"/>
      <c r="T1420" s="2"/>
      <c r="U1420" s="2"/>
      <c r="V1420" s="2"/>
      <c r="W1420" s="2"/>
      <c r="X1420" s="2"/>
      <c r="Y1420" s="2"/>
      <c r="Z1420" s="2"/>
    </row>
    <row r="1421" spans="19:26" x14ac:dyDescent="0.25">
      <c r="S1421" s="2"/>
      <c r="T1421" s="2"/>
      <c r="U1421" s="2"/>
      <c r="V1421" s="2"/>
      <c r="W1421" s="2"/>
      <c r="X1421" s="2"/>
      <c r="Y1421" s="2"/>
      <c r="Z1421" s="2"/>
    </row>
    <row r="1422" spans="19:26" x14ac:dyDescent="0.25">
      <c r="S1422" s="2"/>
      <c r="T1422" s="2"/>
      <c r="U1422" s="2"/>
      <c r="V1422" s="2"/>
      <c r="W1422" s="2"/>
      <c r="X1422" s="2"/>
      <c r="Y1422" s="2"/>
      <c r="Z1422" s="2"/>
    </row>
    <row r="1423" spans="19:26" x14ac:dyDescent="0.25">
      <c r="S1423" s="2"/>
      <c r="T1423" s="2"/>
      <c r="U1423" s="2"/>
      <c r="V1423" s="2"/>
      <c r="W1423" s="2"/>
      <c r="X1423" s="2"/>
      <c r="Y1423" s="2"/>
      <c r="Z1423" s="2"/>
    </row>
    <row r="1424" spans="19:26" x14ac:dyDescent="0.25">
      <c r="S1424" s="2"/>
      <c r="T1424" s="2"/>
      <c r="U1424" s="2"/>
      <c r="V1424" s="2"/>
      <c r="W1424" s="2"/>
      <c r="X1424" s="2"/>
      <c r="Y1424" s="2"/>
      <c r="Z1424" s="2"/>
    </row>
    <row r="1425" spans="19:26" x14ac:dyDescent="0.25">
      <c r="S1425" s="2"/>
      <c r="T1425" s="2"/>
      <c r="U1425" s="2"/>
      <c r="V1425" s="2"/>
      <c r="W1425" s="2"/>
      <c r="X1425" s="2"/>
      <c r="Y1425" s="2"/>
      <c r="Z1425" s="2"/>
    </row>
    <row r="1426" spans="19:26" x14ac:dyDescent="0.25">
      <c r="S1426" s="2"/>
      <c r="T1426" s="2"/>
      <c r="U1426" s="2"/>
      <c r="V1426" s="2"/>
      <c r="W1426" s="2"/>
      <c r="X1426" s="2"/>
      <c r="Y1426" s="2"/>
      <c r="Z1426" s="2"/>
    </row>
    <row r="1427" spans="19:26" x14ac:dyDescent="0.25">
      <c r="S1427" s="2"/>
      <c r="T1427" s="2"/>
      <c r="U1427" s="2"/>
      <c r="V1427" s="2"/>
      <c r="W1427" s="2"/>
      <c r="X1427" s="2"/>
      <c r="Y1427" s="2"/>
      <c r="Z1427" s="2"/>
    </row>
    <row r="1428" spans="19:26" x14ac:dyDescent="0.25">
      <c r="S1428" s="2"/>
      <c r="T1428" s="2"/>
      <c r="U1428" s="2"/>
      <c r="V1428" s="2"/>
      <c r="W1428" s="2"/>
      <c r="X1428" s="2"/>
      <c r="Y1428" s="2"/>
      <c r="Z1428" s="2"/>
    </row>
    <row r="1429" spans="19:26" x14ac:dyDescent="0.25">
      <c r="S1429" s="2"/>
      <c r="T1429" s="2"/>
      <c r="U1429" s="2"/>
      <c r="V1429" s="2"/>
      <c r="W1429" s="2"/>
      <c r="X1429" s="2"/>
      <c r="Y1429" s="2"/>
      <c r="Z1429" s="2"/>
    </row>
    <row r="1430" spans="19:26" x14ac:dyDescent="0.25">
      <c r="S1430" s="2"/>
      <c r="T1430" s="2"/>
      <c r="U1430" s="2"/>
      <c r="V1430" s="2"/>
      <c r="W1430" s="2"/>
      <c r="X1430" s="2"/>
      <c r="Y1430" s="2"/>
      <c r="Z1430" s="2"/>
    </row>
    <row r="1431" spans="19:26" x14ac:dyDescent="0.25">
      <c r="S1431" s="2"/>
      <c r="T1431" s="2"/>
      <c r="U1431" s="2"/>
      <c r="V1431" s="2"/>
      <c r="W1431" s="2"/>
      <c r="X1431" s="2"/>
      <c r="Y1431" s="2"/>
      <c r="Z1431" s="2"/>
    </row>
    <row r="1432" spans="19:26" x14ac:dyDescent="0.25">
      <c r="S1432" s="2"/>
      <c r="T1432" s="2"/>
      <c r="U1432" s="2"/>
      <c r="V1432" s="2"/>
      <c r="W1432" s="2"/>
      <c r="X1432" s="2"/>
      <c r="Y1432" s="2"/>
      <c r="Z1432" s="2"/>
    </row>
    <row r="1433" spans="19:26" x14ac:dyDescent="0.25">
      <c r="S1433" s="2"/>
      <c r="T1433" s="2"/>
      <c r="U1433" s="2"/>
      <c r="V1433" s="2"/>
      <c r="W1433" s="2"/>
      <c r="X1433" s="2"/>
      <c r="Y1433" s="2"/>
      <c r="Z1433" s="2"/>
    </row>
    <row r="1434" spans="19:26" x14ac:dyDescent="0.25">
      <c r="S1434" s="2"/>
      <c r="T1434" s="2"/>
      <c r="U1434" s="2"/>
      <c r="V1434" s="2"/>
      <c r="W1434" s="2"/>
      <c r="X1434" s="2"/>
      <c r="Y1434" s="2"/>
      <c r="Z1434" s="2"/>
    </row>
    <row r="1435" spans="19:26" x14ac:dyDescent="0.25">
      <c r="S1435" s="2"/>
      <c r="T1435" s="2"/>
      <c r="U1435" s="2"/>
      <c r="V1435" s="2"/>
      <c r="W1435" s="2"/>
      <c r="X1435" s="2"/>
      <c r="Y1435" s="2"/>
      <c r="Z1435" s="2"/>
    </row>
    <row r="1436" spans="19:26" x14ac:dyDescent="0.25">
      <c r="S1436" s="2"/>
      <c r="T1436" s="2"/>
      <c r="U1436" s="2"/>
      <c r="V1436" s="2"/>
      <c r="W1436" s="2"/>
      <c r="X1436" s="2"/>
      <c r="Y1436" s="2"/>
      <c r="Z1436" s="2"/>
    </row>
    <row r="1437" spans="19:26" x14ac:dyDescent="0.25">
      <c r="S1437" s="2"/>
      <c r="T1437" s="2"/>
      <c r="U1437" s="2"/>
      <c r="V1437" s="2"/>
      <c r="W1437" s="2"/>
      <c r="X1437" s="2"/>
      <c r="Y1437" s="2"/>
      <c r="Z1437" s="2"/>
    </row>
    <row r="1438" spans="19:26" x14ac:dyDescent="0.25">
      <c r="S1438" s="2"/>
      <c r="T1438" s="2"/>
      <c r="U1438" s="2"/>
      <c r="V1438" s="2"/>
      <c r="W1438" s="2"/>
      <c r="X1438" s="2"/>
      <c r="Y1438" s="2"/>
      <c r="Z1438" s="2"/>
    </row>
    <row r="1439" spans="19:26" x14ac:dyDescent="0.25">
      <c r="S1439" s="2"/>
      <c r="T1439" s="2"/>
      <c r="U1439" s="2"/>
      <c r="V1439" s="2"/>
      <c r="W1439" s="2"/>
      <c r="X1439" s="2"/>
      <c r="Y1439" s="2"/>
      <c r="Z1439" s="2"/>
    </row>
    <row r="1440" spans="19:26" x14ac:dyDescent="0.25">
      <c r="S1440" s="2"/>
      <c r="T1440" s="2"/>
      <c r="U1440" s="2"/>
      <c r="V1440" s="2"/>
      <c r="W1440" s="2"/>
      <c r="X1440" s="2"/>
      <c r="Y1440" s="2"/>
      <c r="Z1440" s="2"/>
    </row>
    <row r="1441" spans="19:26" x14ac:dyDescent="0.25">
      <c r="S1441" s="2"/>
      <c r="T1441" s="2"/>
      <c r="U1441" s="2"/>
      <c r="V1441" s="2"/>
      <c r="W1441" s="2"/>
      <c r="X1441" s="2"/>
      <c r="Y1441" s="2"/>
      <c r="Z1441" s="2"/>
    </row>
    <row r="1442" spans="19:26" x14ac:dyDescent="0.25">
      <c r="S1442" s="2"/>
      <c r="T1442" s="2"/>
      <c r="U1442" s="2"/>
      <c r="V1442" s="2"/>
      <c r="W1442" s="2"/>
      <c r="X1442" s="2"/>
      <c r="Y1442" s="2"/>
      <c r="Z1442" s="2"/>
    </row>
    <row r="1443" spans="19:26" x14ac:dyDescent="0.25">
      <c r="S1443" s="2"/>
      <c r="T1443" s="2"/>
      <c r="U1443" s="2"/>
      <c r="V1443" s="2"/>
      <c r="W1443" s="2"/>
      <c r="X1443" s="2"/>
      <c r="Y1443" s="2"/>
      <c r="Z1443" s="2"/>
    </row>
    <row r="1444" spans="19:26" x14ac:dyDescent="0.25">
      <c r="S1444" s="2"/>
      <c r="T1444" s="2"/>
      <c r="U1444" s="2"/>
      <c r="V1444" s="2"/>
      <c r="W1444" s="2"/>
      <c r="X1444" s="2"/>
      <c r="Y1444" s="2"/>
      <c r="Z1444" s="2"/>
    </row>
    <row r="1445" spans="19:26" x14ac:dyDescent="0.25">
      <c r="S1445" s="2"/>
      <c r="T1445" s="2"/>
      <c r="U1445" s="2"/>
      <c r="V1445" s="2"/>
      <c r="W1445" s="2"/>
      <c r="X1445" s="2"/>
      <c r="Y1445" s="2"/>
      <c r="Z1445" s="2"/>
    </row>
    <row r="1446" spans="19:26" x14ac:dyDescent="0.25">
      <c r="S1446" s="2"/>
      <c r="T1446" s="2"/>
      <c r="U1446" s="2"/>
      <c r="V1446" s="2"/>
      <c r="W1446" s="2"/>
      <c r="X1446" s="2"/>
      <c r="Y1446" s="2"/>
      <c r="Z1446" s="2"/>
    </row>
    <row r="1447" spans="19:26" x14ac:dyDescent="0.25">
      <c r="S1447" s="2"/>
      <c r="T1447" s="2"/>
      <c r="U1447" s="2"/>
      <c r="V1447" s="2"/>
      <c r="W1447" s="2"/>
      <c r="X1447" s="2"/>
      <c r="Y1447" s="2"/>
      <c r="Z1447" s="2"/>
    </row>
    <row r="1448" spans="19:26" x14ac:dyDescent="0.25">
      <c r="S1448" s="2"/>
      <c r="T1448" s="2"/>
      <c r="U1448" s="2"/>
      <c r="V1448" s="2"/>
      <c r="W1448" s="2"/>
      <c r="X1448" s="2"/>
      <c r="Y1448" s="2"/>
      <c r="Z1448" s="2"/>
    </row>
    <row r="1449" spans="19:26" x14ac:dyDescent="0.25">
      <c r="S1449" s="2"/>
      <c r="T1449" s="2"/>
      <c r="U1449" s="2"/>
      <c r="V1449" s="2"/>
      <c r="W1449" s="2"/>
      <c r="X1449" s="2"/>
      <c r="Y1449" s="2"/>
      <c r="Z1449" s="2"/>
    </row>
    <row r="1450" spans="19:26" x14ac:dyDescent="0.25">
      <c r="S1450" s="2"/>
      <c r="T1450" s="2"/>
      <c r="U1450" s="2"/>
      <c r="V1450" s="2"/>
      <c r="W1450" s="2"/>
      <c r="X1450" s="2"/>
      <c r="Y1450" s="2"/>
      <c r="Z1450" s="2"/>
    </row>
    <row r="1451" spans="19:26" x14ac:dyDescent="0.25">
      <c r="S1451" s="2"/>
      <c r="T1451" s="2"/>
      <c r="U1451" s="2"/>
      <c r="V1451" s="2"/>
      <c r="W1451" s="2"/>
      <c r="X1451" s="2"/>
      <c r="Y1451" s="2"/>
      <c r="Z1451" s="2"/>
    </row>
    <row r="1452" spans="19:26" x14ac:dyDescent="0.25">
      <c r="S1452" s="2"/>
      <c r="T1452" s="2"/>
      <c r="U1452" s="2"/>
      <c r="V1452" s="2"/>
      <c r="W1452" s="2"/>
      <c r="X1452" s="2"/>
      <c r="Y1452" s="2"/>
      <c r="Z1452" s="2"/>
    </row>
    <row r="1453" spans="19:26" x14ac:dyDescent="0.25">
      <c r="S1453" s="2"/>
      <c r="T1453" s="2"/>
      <c r="U1453" s="2"/>
      <c r="V1453" s="2"/>
      <c r="W1453" s="2"/>
      <c r="X1453" s="2"/>
      <c r="Y1453" s="2"/>
      <c r="Z1453" s="2"/>
    </row>
    <row r="1454" spans="19:26" x14ac:dyDescent="0.25">
      <c r="S1454" s="2"/>
      <c r="T1454" s="2"/>
      <c r="U1454" s="2"/>
      <c r="V1454" s="2"/>
      <c r="W1454" s="2"/>
      <c r="X1454" s="2"/>
      <c r="Y1454" s="2"/>
      <c r="Z1454" s="2"/>
    </row>
    <row r="1455" spans="19:26" x14ac:dyDescent="0.25">
      <c r="S1455" s="2"/>
      <c r="T1455" s="2"/>
      <c r="U1455" s="2"/>
      <c r="V1455" s="2"/>
      <c r="W1455" s="2"/>
      <c r="X1455" s="2"/>
      <c r="Y1455" s="2"/>
      <c r="Z1455" s="2"/>
    </row>
    <row r="1456" spans="19:26" x14ac:dyDescent="0.25">
      <c r="S1456" s="2"/>
      <c r="T1456" s="2"/>
      <c r="U1456" s="2"/>
      <c r="V1456" s="2"/>
      <c r="W1456" s="2"/>
      <c r="X1456" s="2"/>
      <c r="Y1456" s="2"/>
      <c r="Z1456" s="2"/>
    </row>
    <row r="1457" spans="19:26" x14ac:dyDescent="0.25">
      <c r="S1457" s="2"/>
      <c r="T1457" s="2"/>
      <c r="U1457" s="2"/>
      <c r="V1457" s="2"/>
      <c r="W1457" s="2"/>
      <c r="X1457" s="2"/>
      <c r="Y1457" s="2"/>
      <c r="Z1457" s="2"/>
    </row>
    <row r="1458" spans="19:26" x14ac:dyDescent="0.25">
      <c r="S1458" s="2"/>
      <c r="T1458" s="2"/>
      <c r="U1458" s="2"/>
      <c r="V1458" s="2"/>
      <c r="W1458" s="2"/>
      <c r="X1458" s="2"/>
      <c r="Y1458" s="2"/>
      <c r="Z1458" s="2"/>
    </row>
    <row r="1459" spans="19:26" x14ac:dyDescent="0.25">
      <c r="S1459" s="2"/>
      <c r="T1459" s="2"/>
      <c r="U1459" s="2"/>
      <c r="V1459" s="2"/>
      <c r="W1459" s="2"/>
      <c r="X1459" s="2"/>
      <c r="Y1459" s="2"/>
      <c r="Z1459" s="2"/>
    </row>
    <row r="1460" spans="19:26" x14ac:dyDescent="0.25">
      <c r="S1460" s="2"/>
      <c r="T1460" s="2"/>
      <c r="U1460" s="2"/>
      <c r="V1460" s="2"/>
      <c r="W1460" s="2"/>
      <c r="X1460" s="2"/>
      <c r="Y1460" s="2"/>
      <c r="Z1460" s="2"/>
    </row>
    <row r="1461" spans="19:26" x14ac:dyDescent="0.25">
      <c r="S1461" s="2"/>
      <c r="T1461" s="2"/>
      <c r="U1461" s="2"/>
      <c r="V1461" s="2"/>
      <c r="W1461" s="2"/>
      <c r="X1461" s="2"/>
      <c r="Y1461" s="2"/>
      <c r="Z1461" s="2"/>
    </row>
    <row r="1462" spans="19:26" x14ac:dyDescent="0.25">
      <c r="S1462" s="2"/>
      <c r="T1462" s="2"/>
      <c r="U1462" s="2"/>
      <c r="V1462" s="2"/>
      <c r="W1462" s="2"/>
      <c r="X1462" s="2"/>
      <c r="Y1462" s="2"/>
      <c r="Z1462" s="2"/>
    </row>
    <row r="1463" spans="19:26" x14ac:dyDescent="0.25">
      <c r="S1463" s="2"/>
      <c r="T1463" s="2"/>
      <c r="U1463" s="2"/>
      <c r="V1463" s="2"/>
      <c r="W1463" s="2"/>
      <c r="X1463" s="2"/>
      <c r="Y1463" s="2"/>
      <c r="Z1463" s="2"/>
    </row>
    <row r="1464" spans="19:26" x14ac:dyDescent="0.25">
      <c r="S1464" s="2"/>
      <c r="T1464" s="2"/>
      <c r="U1464" s="2"/>
      <c r="V1464" s="2"/>
      <c r="W1464" s="2"/>
      <c r="X1464" s="2"/>
      <c r="Y1464" s="2"/>
      <c r="Z1464" s="2"/>
    </row>
    <row r="1465" spans="19:26" x14ac:dyDescent="0.25">
      <c r="S1465" s="2"/>
      <c r="T1465" s="2"/>
      <c r="U1465" s="2"/>
      <c r="V1465" s="2"/>
      <c r="W1465" s="2"/>
      <c r="X1465" s="2"/>
      <c r="Y1465" s="2"/>
      <c r="Z1465" s="2"/>
    </row>
    <row r="1466" spans="19:26" x14ac:dyDescent="0.25">
      <c r="S1466" s="2"/>
      <c r="T1466" s="2"/>
      <c r="U1466" s="2"/>
      <c r="V1466" s="2"/>
      <c r="W1466" s="2"/>
      <c r="X1466" s="2"/>
      <c r="Y1466" s="2"/>
      <c r="Z1466" s="2"/>
    </row>
    <row r="1467" spans="19:26" x14ac:dyDescent="0.25">
      <c r="S1467" s="2"/>
      <c r="T1467" s="2"/>
      <c r="U1467" s="2"/>
      <c r="V1467" s="2"/>
      <c r="W1467" s="2"/>
      <c r="X1467" s="2"/>
      <c r="Y1467" s="2"/>
      <c r="Z1467" s="2"/>
    </row>
    <row r="1468" spans="19:26" x14ac:dyDescent="0.25">
      <c r="S1468" s="2"/>
      <c r="T1468" s="2"/>
      <c r="U1468" s="2"/>
      <c r="V1468" s="2"/>
      <c r="W1468" s="2"/>
      <c r="X1468" s="2"/>
      <c r="Y1468" s="2"/>
      <c r="Z1468" s="2"/>
    </row>
    <row r="1469" spans="19:26" x14ac:dyDescent="0.25">
      <c r="S1469" s="2"/>
      <c r="T1469" s="2"/>
      <c r="U1469" s="2"/>
      <c r="V1469" s="2"/>
      <c r="W1469" s="2"/>
      <c r="X1469" s="2"/>
      <c r="Y1469" s="2"/>
      <c r="Z1469" s="2"/>
    </row>
    <row r="1470" spans="19:26" x14ac:dyDescent="0.25">
      <c r="S1470" s="2"/>
      <c r="T1470" s="2"/>
      <c r="U1470" s="2"/>
      <c r="V1470" s="2"/>
      <c r="W1470" s="2"/>
      <c r="X1470" s="2"/>
      <c r="Y1470" s="2"/>
      <c r="Z1470" s="2"/>
    </row>
    <row r="1471" spans="19:26" x14ac:dyDescent="0.25">
      <c r="S1471" s="2"/>
      <c r="T1471" s="2"/>
      <c r="U1471" s="2"/>
      <c r="V1471" s="2"/>
      <c r="W1471" s="2"/>
      <c r="X1471" s="2"/>
      <c r="Y1471" s="2"/>
      <c r="Z1471" s="2"/>
    </row>
    <row r="1472" spans="19:26" x14ac:dyDescent="0.25">
      <c r="S1472" s="2"/>
      <c r="T1472" s="2"/>
      <c r="U1472" s="2"/>
      <c r="V1472" s="2"/>
      <c r="W1472" s="2"/>
      <c r="X1472" s="2"/>
      <c r="Y1472" s="2"/>
      <c r="Z1472" s="2"/>
    </row>
    <row r="1473" spans="19:26" x14ac:dyDescent="0.25">
      <c r="S1473" s="2"/>
      <c r="T1473" s="2"/>
      <c r="U1473" s="2"/>
      <c r="V1473" s="2"/>
      <c r="W1473" s="2"/>
      <c r="X1473" s="2"/>
      <c r="Y1473" s="2"/>
      <c r="Z1473" s="2"/>
    </row>
    <row r="1474" spans="19:26" x14ac:dyDescent="0.25">
      <c r="S1474" s="2"/>
      <c r="T1474" s="2"/>
      <c r="U1474" s="2"/>
      <c r="V1474" s="2"/>
      <c r="W1474" s="2"/>
      <c r="X1474" s="2"/>
      <c r="Y1474" s="2"/>
      <c r="Z1474" s="2"/>
    </row>
    <row r="1475" spans="19:26" x14ac:dyDescent="0.25">
      <c r="S1475" s="2"/>
      <c r="T1475" s="2"/>
      <c r="U1475" s="2"/>
      <c r="V1475" s="2"/>
      <c r="W1475" s="2"/>
      <c r="X1475" s="2"/>
      <c r="Y1475" s="2"/>
      <c r="Z1475" s="2"/>
    </row>
    <row r="1476" spans="19:26" x14ac:dyDescent="0.25">
      <c r="S1476" s="2"/>
      <c r="T1476" s="2"/>
      <c r="U1476" s="2"/>
      <c r="V1476" s="2"/>
      <c r="W1476" s="2"/>
      <c r="X1476" s="2"/>
      <c r="Y1476" s="2"/>
      <c r="Z1476" s="2"/>
    </row>
    <row r="1477" spans="19:26" x14ac:dyDescent="0.25">
      <c r="S1477" s="2"/>
      <c r="T1477" s="2"/>
      <c r="U1477" s="2"/>
      <c r="V1477" s="2"/>
      <c r="W1477" s="2"/>
      <c r="X1477" s="2"/>
      <c r="Y1477" s="2"/>
      <c r="Z1477" s="2"/>
    </row>
    <row r="1478" spans="19:26" x14ac:dyDescent="0.25">
      <c r="S1478" s="2"/>
      <c r="T1478" s="2"/>
      <c r="U1478" s="2"/>
      <c r="V1478" s="2"/>
      <c r="W1478" s="2"/>
      <c r="X1478" s="2"/>
      <c r="Y1478" s="2"/>
      <c r="Z1478" s="2"/>
    </row>
    <row r="1479" spans="19:26" x14ac:dyDescent="0.25">
      <c r="S1479" s="2"/>
      <c r="T1479" s="2"/>
      <c r="U1479" s="2"/>
      <c r="V1479" s="2"/>
      <c r="W1479" s="2"/>
      <c r="X1479" s="2"/>
      <c r="Y1479" s="2"/>
      <c r="Z1479" s="2"/>
    </row>
    <row r="1480" spans="19:26" x14ac:dyDescent="0.25">
      <c r="S1480" s="2"/>
      <c r="T1480" s="2"/>
      <c r="U1480" s="2"/>
      <c r="V1480" s="2"/>
      <c r="W1480" s="2"/>
      <c r="X1480" s="2"/>
      <c r="Y1480" s="2"/>
      <c r="Z1480" s="2"/>
    </row>
    <row r="1481" spans="19:26" x14ac:dyDescent="0.25">
      <c r="S1481" s="2"/>
      <c r="T1481" s="2"/>
      <c r="U1481" s="2"/>
      <c r="V1481" s="2"/>
      <c r="W1481" s="2"/>
      <c r="X1481" s="2"/>
      <c r="Y1481" s="2"/>
      <c r="Z1481" s="2"/>
    </row>
    <row r="1482" spans="19:26" x14ac:dyDescent="0.25">
      <c r="S1482" s="2"/>
      <c r="T1482" s="2"/>
      <c r="U1482" s="2"/>
      <c r="V1482" s="2"/>
      <c r="W1482" s="2"/>
      <c r="X1482" s="2"/>
      <c r="Y1482" s="2"/>
      <c r="Z1482" s="2"/>
    </row>
    <row r="1483" spans="19:26" x14ac:dyDescent="0.25">
      <c r="S1483" s="2"/>
      <c r="T1483" s="2"/>
      <c r="U1483" s="2"/>
      <c r="V1483" s="2"/>
      <c r="W1483" s="2"/>
      <c r="X1483" s="2"/>
      <c r="Y1483" s="2"/>
      <c r="Z1483" s="2"/>
    </row>
    <row r="1484" spans="19:26" x14ac:dyDescent="0.25">
      <c r="S1484" s="2"/>
      <c r="T1484" s="2"/>
      <c r="U1484" s="2"/>
      <c r="V1484" s="2"/>
      <c r="W1484" s="2"/>
      <c r="X1484" s="2"/>
      <c r="Y1484" s="2"/>
      <c r="Z1484" s="2"/>
    </row>
    <row r="1485" spans="19:26" x14ac:dyDescent="0.25">
      <c r="S1485" s="2"/>
      <c r="T1485" s="2"/>
      <c r="U1485" s="2"/>
      <c r="V1485" s="2"/>
      <c r="W1485" s="2"/>
      <c r="X1485" s="2"/>
      <c r="Y1485" s="2"/>
      <c r="Z1485" s="2"/>
    </row>
    <row r="1486" spans="19:26" x14ac:dyDescent="0.25">
      <c r="S1486" s="2"/>
      <c r="T1486" s="2"/>
      <c r="U1486" s="2"/>
      <c r="V1486" s="2"/>
      <c r="W1486" s="2"/>
      <c r="X1486" s="2"/>
      <c r="Y1486" s="2"/>
      <c r="Z1486" s="2"/>
    </row>
    <row r="1487" spans="19:26" x14ac:dyDescent="0.25">
      <c r="S1487" s="2"/>
      <c r="T1487" s="2"/>
      <c r="U1487" s="2"/>
      <c r="V1487" s="2"/>
      <c r="W1487" s="2"/>
      <c r="X1487" s="2"/>
      <c r="Y1487" s="2"/>
      <c r="Z1487" s="2"/>
    </row>
    <row r="1488" spans="19:26" x14ac:dyDescent="0.25">
      <c r="S1488" s="2"/>
      <c r="T1488" s="2"/>
      <c r="U1488" s="2"/>
      <c r="V1488" s="2"/>
      <c r="W1488" s="2"/>
      <c r="X1488" s="2"/>
      <c r="Y1488" s="2"/>
      <c r="Z1488" s="2"/>
    </row>
    <row r="1489" spans="19:26" x14ac:dyDescent="0.25">
      <c r="S1489" s="2"/>
      <c r="T1489" s="2"/>
      <c r="U1489" s="2"/>
      <c r="V1489" s="2"/>
      <c r="W1489" s="2"/>
      <c r="X1489" s="2"/>
      <c r="Y1489" s="2"/>
      <c r="Z1489" s="2"/>
    </row>
    <row r="1490" spans="19:26" x14ac:dyDescent="0.25">
      <c r="S1490" s="2"/>
      <c r="T1490" s="2"/>
      <c r="U1490" s="2"/>
      <c r="V1490" s="2"/>
      <c r="W1490" s="2"/>
      <c r="X1490" s="2"/>
      <c r="Y1490" s="2"/>
      <c r="Z1490" s="2"/>
    </row>
    <row r="1491" spans="19:26" x14ac:dyDescent="0.25">
      <c r="S1491" s="2"/>
      <c r="T1491" s="2"/>
      <c r="U1491" s="2"/>
      <c r="V1491" s="2"/>
      <c r="W1491" s="2"/>
      <c r="X1491" s="2"/>
      <c r="Y1491" s="2"/>
      <c r="Z1491" s="2"/>
    </row>
    <row r="1492" spans="19:26" x14ac:dyDescent="0.25">
      <c r="S1492" s="2"/>
      <c r="T1492" s="2"/>
      <c r="U1492" s="2"/>
      <c r="V1492" s="2"/>
      <c r="W1492" s="2"/>
      <c r="X1492" s="2"/>
      <c r="Y1492" s="2"/>
      <c r="Z1492" s="2"/>
    </row>
    <row r="1493" spans="19:26" x14ac:dyDescent="0.25">
      <c r="S1493" s="2"/>
      <c r="T1493" s="2"/>
      <c r="U1493" s="2"/>
      <c r="V1493" s="2"/>
      <c r="W1493" s="2"/>
      <c r="X1493" s="2"/>
      <c r="Y1493" s="2"/>
      <c r="Z1493" s="2"/>
    </row>
    <row r="1494" spans="19:26" x14ac:dyDescent="0.25">
      <c r="S1494" s="2"/>
      <c r="T1494" s="2"/>
      <c r="U1494" s="2"/>
      <c r="V1494" s="2"/>
      <c r="W1494" s="2"/>
      <c r="X1494" s="2"/>
      <c r="Y1494" s="2"/>
      <c r="Z1494" s="2"/>
    </row>
    <row r="1495" spans="19:26" x14ac:dyDescent="0.25">
      <c r="S1495" s="2"/>
      <c r="T1495" s="2"/>
      <c r="U1495" s="2"/>
      <c r="V1495" s="2"/>
      <c r="W1495" s="2"/>
      <c r="X1495" s="2"/>
      <c r="Y1495" s="2"/>
      <c r="Z1495" s="2"/>
    </row>
    <row r="1496" spans="19:26" x14ac:dyDescent="0.25">
      <c r="S1496" s="2"/>
      <c r="T1496" s="2"/>
      <c r="U1496" s="2"/>
      <c r="V1496" s="2"/>
      <c r="W1496" s="2"/>
      <c r="X1496" s="2"/>
      <c r="Y1496" s="2"/>
      <c r="Z1496" s="2"/>
    </row>
    <row r="1497" spans="19:26" x14ac:dyDescent="0.25">
      <c r="S1497" s="2"/>
      <c r="T1497" s="2"/>
      <c r="U1497" s="2"/>
      <c r="V1497" s="2"/>
      <c r="W1497" s="2"/>
      <c r="X1497" s="2"/>
      <c r="Y1497" s="2"/>
      <c r="Z1497" s="2"/>
    </row>
    <row r="1498" spans="19:26" x14ac:dyDescent="0.25">
      <c r="S1498" s="2"/>
      <c r="T1498" s="2"/>
      <c r="U1498" s="2"/>
      <c r="V1498" s="2"/>
      <c r="W1498" s="2"/>
      <c r="X1498" s="2"/>
      <c r="Y1498" s="2"/>
      <c r="Z1498" s="2"/>
    </row>
    <row r="1499" spans="19:26" x14ac:dyDescent="0.25">
      <c r="S1499" s="2"/>
      <c r="T1499" s="2"/>
      <c r="U1499" s="2"/>
      <c r="V1499" s="2"/>
      <c r="W1499" s="2"/>
      <c r="X1499" s="2"/>
      <c r="Y1499" s="2"/>
      <c r="Z1499" s="2"/>
    </row>
    <row r="1500" spans="19:26" x14ac:dyDescent="0.25">
      <c r="S1500" s="2"/>
      <c r="T1500" s="2"/>
      <c r="U1500" s="2"/>
      <c r="V1500" s="2"/>
      <c r="W1500" s="2"/>
      <c r="X1500" s="2"/>
      <c r="Y1500" s="2"/>
      <c r="Z1500" s="2"/>
    </row>
    <row r="1501" spans="19:26" x14ac:dyDescent="0.25">
      <c r="S1501" s="2"/>
      <c r="T1501" s="2"/>
      <c r="U1501" s="2"/>
      <c r="V1501" s="2"/>
      <c r="W1501" s="2"/>
      <c r="X1501" s="2"/>
      <c r="Y1501" s="2"/>
      <c r="Z1501" s="2"/>
    </row>
    <row r="1502" spans="19:26" x14ac:dyDescent="0.25">
      <c r="S1502" s="2"/>
      <c r="T1502" s="2"/>
      <c r="U1502" s="2"/>
      <c r="V1502" s="2"/>
      <c r="W1502" s="2"/>
      <c r="X1502" s="2"/>
      <c r="Y1502" s="2"/>
      <c r="Z1502" s="2"/>
    </row>
    <row r="1503" spans="19:26" x14ac:dyDescent="0.25">
      <c r="S1503" s="2"/>
      <c r="T1503" s="2"/>
      <c r="U1503" s="2"/>
      <c r="V1503" s="2"/>
      <c r="W1503" s="2"/>
      <c r="X1503" s="2"/>
      <c r="Y1503" s="2"/>
      <c r="Z1503" s="2"/>
    </row>
    <row r="1504" spans="19:26" x14ac:dyDescent="0.25">
      <c r="S1504" s="2"/>
      <c r="T1504" s="2"/>
      <c r="U1504" s="2"/>
      <c r="V1504" s="2"/>
      <c r="W1504" s="2"/>
      <c r="X1504" s="2"/>
      <c r="Y1504" s="2"/>
      <c r="Z1504" s="2"/>
    </row>
    <row r="1505" spans="19:26" x14ac:dyDescent="0.25">
      <c r="S1505" s="2"/>
      <c r="T1505" s="2"/>
      <c r="U1505" s="2"/>
      <c r="V1505" s="2"/>
      <c r="W1505" s="2"/>
      <c r="X1505" s="2"/>
      <c r="Y1505" s="2"/>
      <c r="Z1505" s="2"/>
    </row>
    <row r="1506" spans="19:26" x14ac:dyDescent="0.25">
      <c r="S1506" s="2"/>
      <c r="T1506" s="2"/>
      <c r="U1506" s="2"/>
      <c r="V1506" s="2"/>
      <c r="W1506" s="2"/>
      <c r="X1506" s="2"/>
      <c r="Y1506" s="2"/>
      <c r="Z1506" s="2"/>
    </row>
    <row r="1507" spans="19:26" x14ac:dyDescent="0.25">
      <c r="S1507" s="2"/>
      <c r="T1507" s="2"/>
      <c r="U1507" s="2"/>
      <c r="V1507" s="2"/>
      <c r="W1507" s="2"/>
      <c r="X1507" s="2"/>
      <c r="Y1507" s="2"/>
      <c r="Z1507" s="2"/>
    </row>
    <row r="1508" spans="19:26" x14ac:dyDescent="0.25">
      <c r="S1508" s="2"/>
      <c r="T1508" s="2"/>
      <c r="U1508" s="2"/>
      <c r="V1508" s="2"/>
      <c r="W1508" s="2"/>
      <c r="X1508" s="2"/>
      <c r="Y1508" s="2"/>
      <c r="Z1508" s="2"/>
    </row>
    <row r="1509" spans="19:26" x14ac:dyDescent="0.25">
      <c r="S1509" s="2"/>
      <c r="T1509" s="2"/>
      <c r="U1509" s="2"/>
      <c r="V1509" s="2"/>
      <c r="W1509" s="2"/>
      <c r="X1509" s="2"/>
      <c r="Y1509" s="2"/>
      <c r="Z1509" s="2"/>
    </row>
    <row r="1510" spans="19:26" x14ac:dyDescent="0.25">
      <c r="S1510" s="2"/>
      <c r="T1510" s="2"/>
      <c r="U1510" s="2"/>
      <c r="V1510" s="2"/>
      <c r="W1510" s="2"/>
      <c r="X1510" s="2"/>
      <c r="Y1510" s="2"/>
      <c r="Z1510" s="2"/>
    </row>
    <row r="1511" spans="19:26" x14ac:dyDescent="0.25">
      <c r="S1511" s="2"/>
      <c r="T1511" s="2"/>
      <c r="U1511" s="2"/>
      <c r="V1511" s="2"/>
      <c r="W1511" s="2"/>
      <c r="X1511" s="2"/>
      <c r="Y1511" s="2"/>
      <c r="Z1511" s="2"/>
    </row>
    <row r="1512" spans="19:26" x14ac:dyDescent="0.25">
      <c r="S1512" s="2"/>
      <c r="T1512" s="2"/>
      <c r="U1512" s="2"/>
      <c r="V1512" s="2"/>
      <c r="W1512" s="2"/>
      <c r="X1512" s="2"/>
      <c r="Y1512" s="2"/>
      <c r="Z1512" s="2"/>
    </row>
    <row r="1513" spans="19:26" x14ac:dyDescent="0.25">
      <c r="S1513" s="2"/>
      <c r="T1513" s="2"/>
      <c r="U1513" s="2"/>
      <c r="V1513" s="2"/>
      <c r="W1513" s="2"/>
      <c r="X1513" s="2"/>
      <c r="Y1513" s="2"/>
      <c r="Z1513" s="2"/>
    </row>
    <row r="1514" spans="19:26" x14ac:dyDescent="0.25">
      <c r="S1514" s="2"/>
      <c r="T1514" s="2"/>
      <c r="U1514" s="2"/>
      <c r="V1514" s="2"/>
      <c r="W1514" s="2"/>
      <c r="X1514" s="2"/>
      <c r="Y1514" s="2"/>
      <c r="Z1514" s="2"/>
    </row>
    <row r="1515" spans="19:26" x14ac:dyDescent="0.25">
      <c r="S1515" s="2"/>
      <c r="T1515" s="2"/>
      <c r="U1515" s="2"/>
      <c r="V1515" s="2"/>
      <c r="W1515" s="2"/>
      <c r="X1515" s="2"/>
      <c r="Y1515" s="2"/>
      <c r="Z1515" s="2"/>
    </row>
    <row r="1516" spans="19:26" x14ac:dyDescent="0.25">
      <c r="S1516" s="2"/>
      <c r="T1516" s="2"/>
      <c r="U1516" s="2"/>
      <c r="V1516" s="2"/>
      <c r="W1516" s="2"/>
      <c r="X1516" s="2"/>
      <c r="Y1516" s="2"/>
      <c r="Z1516" s="2"/>
    </row>
    <row r="1517" spans="19:26" x14ac:dyDescent="0.25">
      <c r="S1517" s="2"/>
      <c r="T1517" s="2"/>
      <c r="U1517" s="2"/>
      <c r="V1517" s="2"/>
      <c r="W1517" s="2"/>
      <c r="X1517" s="2"/>
      <c r="Y1517" s="2"/>
      <c r="Z1517" s="2"/>
    </row>
    <row r="1518" spans="19:26" x14ac:dyDescent="0.25">
      <c r="S1518" s="2"/>
      <c r="T1518" s="2"/>
      <c r="U1518" s="2"/>
      <c r="V1518" s="2"/>
      <c r="W1518" s="2"/>
      <c r="X1518" s="2"/>
      <c r="Y1518" s="2"/>
      <c r="Z1518" s="2"/>
    </row>
    <row r="1519" spans="19:26" x14ac:dyDescent="0.25">
      <c r="S1519" s="2"/>
      <c r="T1519" s="2"/>
      <c r="U1519" s="2"/>
      <c r="V1519" s="2"/>
      <c r="W1519" s="2"/>
      <c r="X1519" s="2"/>
      <c r="Y1519" s="2"/>
      <c r="Z1519" s="2"/>
    </row>
    <row r="1520" spans="19:26" x14ac:dyDescent="0.25">
      <c r="S1520" s="2"/>
      <c r="T1520" s="2"/>
      <c r="U1520" s="2"/>
      <c r="V1520" s="2"/>
      <c r="W1520" s="2"/>
      <c r="X1520" s="2"/>
      <c r="Y1520" s="2"/>
      <c r="Z1520" s="2"/>
    </row>
    <row r="1521" spans="19:26" x14ac:dyDescent="0.25">
      <c r="S1521" s="2"/>
      <c r="T1521" s="2"/>
      <c r="U1521" s="2"/>
      <c r="V1521" s="2"/>
      <c r="W1521" s="2"/>
      <c r="X1521" s="2"/>
      <c r="Y1521" s="2"/>
      <c r="Z1521" s="2"/>
    </row>
    <row r="1522" spans="19:26" x14ac:dyDescent="0.25">
      <c r="S1522" s="2"/>
      <c r="T1522" s="2"/>
      <c r="U1522" s="2"/>
      <c r="V1522" s="2"/>
      <c r="W1522" s="2"/>
      <c r="X1522" s="2"/>
      <c r="Y1522" s="2"/>
      <c r="Z1522" s="2"/>
    </row>
    <row r="1523" spans="19:26" x14ac:dyDescent="0.25">
      <c r="S1523" s="2"/>
      <c r="T1523" s="2"/>
      <c r="U1523" s="2"/>
      <c r="V1523" s="2"/>
      <c r="W1523" s="2"/>
      <c r="X1523" s="2"/>
      <c r="Y1523" s="2"/>
      <c r="Z1523" s="2"/>
    </row>
    <row r="1524" spans="19:26" x14ac:dyDescent="0.25">
      <c r="S1524" s="2"/>
      <c r="T1524" s="2"/>
      <c r="U1524" s="2"/>
      <c r="V1524" s="2"/>
      <c r="W1524" s="2"/>
      <c r="X1524" s="2"/>
      <c r="Y1524" s="2"/>
      <c r="Z1524" s="2"/>
    </row>
    <row r="1525" spans="19:26" x14ac:dyDescent="0.25">
      <c r="S1525" s="2"/>
      <c r="T1525" s="2"/>
      <c r="U1525" s="2"/>
      <c r="V1525" s="2"/>
      <c r="W1525" s="2"/>
      <c r="X1525" s="2"/>
      <c r="Y1525" s="2"/>
      <c r="Z1525" s="2"/>
    </row>
    <row r="1526" spans="19:26" x14ac:dyDescent="0.25">
      <c r="S1526" s="2"/>
      <c r="T1526" s="2"/>
      <c r="U1526" s="2"/>
      <c r="V1526" s="2"/>
      <c r="W1526" s="2"/>
      <c r="X1526" s="2"/>
      <c r="Y1526" s="2"/>
      <c r="Z1526" s="2"/>
    </row>
    <row r="1527" spans="19:26" x14ac:dyDescent="0.25">
      <c r="S1527" s="2"/>
      <c r="T1527" s="2"/>
      <c r="U1527" s="2"/>
      <c r="V1527" s="2"/>
      <c r="W1527" s="2"/>
      <c r="X1527" s="2"/>
      <c r="Y1527" s="2"/>
      <c r="Z1527" s="2"/>
    </row>
    <row r="1528" spans="19:26" x14ac:dyDescent="0.25">
      <c r="S1528" s="2"/>
      <c r="T1528" s="2"/>
      <c r="U1528" s="2"/>
      <c r="V1528" s="2"/>
      <c r="W1528" s="2"/>
      <c r="X1528" s="2"/>
      <c r="Y1528" s="2"/>
      <c r="Z1528" s="2"/>
    </row>
    <row r="1529" spans="19:26" x14ac:dyDescent="0.25">
      <c r="S1529" s="2"/>
      <c r="T1529" s="2"/>
      <c r="U1529" s="2"/>
      <c r="V1529" s="2"/>
      <c r="W1529" s="2"/>
      <c r="X1529" s="2"/>
      <c r="Y1529" s="2"/>
      <c r="Z1529" s="2"/>
    </row>
    <row r="1530" spans="19:26" x14ac:dyDescent="0.25">
      <c r="S1530" s="2"/>
      <c r="T1530" s="2"/>
      <c r="U1530" s="2"/>
      <c r="V1530" s="2"/>
      <c r="W1530" s="2"/>
      <c r="X1530" s="2"/>
      <c r="Y1530" s="2"/>
      <c r="Z1530" s="2"/>
    </row>
    <row r="1531" spans="19:26" x14ac:dyDescent="0.25">
      <c r="S1531" s="2"/>
      <c r="T1531" s="2"/>
      <c r="U1531" s="2"/>
      <c r="V1531" s="2"/>
      <c r="W1531" s="2"/>
      <c r="X1531" s="2"/>
      <c r="Y1531" s="2"/>
      <c r="Z1531" s="2"/>
    </row>
    <row r="1532" spans="19:26" x14ac:dyDescent="0.25">
      <c r="S1532" s="2"/>
      <c r="T1532" s="2"/>
      <c r="U1532" s="2"/>
      <c r="V1532" s="2"/>
      <c r="W1532" s="2"/>
      <c r="X1532" s="2"/>
      <c r="Y1532" s="2"/>
      <c r="Z1532" s="2"/>
    </row>
    <row r="1533" spans="19:26" x14ac:dyDescent="0.25">
      <c r="S1533" s="2"/>
      <c r="T1533" s="2"/>
      <c r="U1533" s="2"/>
      <c r="V1533" s="2"/>
      <c r="W1533" s="2"/>
      <c r="X1533" s="2"/>
      <c r="Y1533" s="2"/>
      <c r="Z1533" s="2"/>
    </row>
    <row r="1534" spans="19:26" x14ac:dyDescent="0.25">
      <c r="S1534" s="2"/>
      <c r="T1534" s="2"/>
      <c r="U1534" s="2"/>
      <c r="V1534" s="2"/>
      <c r="W1534" s="2"/>
      <c r="X1534" s="2"/>
      <c r="Y1534" s="2"/>
      <c r="Z1534" s="2"/>
    </row>
    <row r="1535" spans="19:26" x14ac:dyDescent="0.25">
      <c r="S1535" s="2"/>
      <c r="T1535" s="2"/>
      <c r="U1535" s="2"/>
      <c r="V1535" s="2"/>
      <c r="W1535" s="2"/>
      <c r="X1535" s="2"/>
      <c r="Y1535" s="2"/>
      <c r="Z1535" s="2"/>
    </row>
    <row r="1536" spans="19:26" x14ac:dyDescent="0.25">
      <c r="S1536" s="2"/>
      <c r="T1536" s="2"/>
      <c r="U1536" s="2"/>
      <c r="V1536" s="2"/>
      <c r="W1536" s="2"/>
      <c r="X1536" s="2"/>
      <c r="Y1536" s="2"/>
      <c r="Z1536" s="2"/>
    </row>
    <row r="1537" spans="19:26" x14ac:dyDescent="0.25">
      <c r="S1537" s="2"/>
      <c r="T1537" s="2"/>
      <c r="U1537" s="2"/>
      <c r="V1537" s="2"/>
      <c r="W1537" s="2"/>
      <c r="X1537" s="2"/>
      <c r="Y1537" s="2"/>
      <c r="Z1537" s="2"/>
    </row>
    <row r="1538" spans="19:26" x14ac:dyDescent="0.25">
      <c r="S1538" s="2"/>
      <c r="T1538" s="2"/>
      <c r="U1538" s="2"/>
      <c r="V1538" s="2"/>
      <c r="W1538" s="2"/>
      <c r="X1538" s="2"/>
      <c r="Y1538" s="2"/>
      <c r="Z1538" s="2"/>
    </row>
    <row r="1539" spans="19:26" x14ac:dyDescent="0.25">
      <c r="S1539" s="2"/>
      <c r="T1539" s="2"/>
      <c r="U1539" s="2"/>
      <c r="V1539" s="2"/>
      <c r="W1539" s="2"/>
      <c r="X1539" s="2"/>
      <c r="Y1539" s="2"/>
      <c r="Z1539" s="2"/>
    </row>
    <row r="1540" spans="19:26" x14ac:dyDescent="0.25">
      <c r="S1540" s="2"/>
      <c r="T1540" s="2"/>
      <c r="U1540" s="2"/>
      <c r="V1540" s="2"/>
      <c r="W1540" s="2"/>
      <c r="X1540" s="2"/>
      <c r="Y1540" s="2"/>
      <c r="Z1540" s="2"/>
    </row>
    <row r="1541" spans="19:26" x14ac:dyDescent="0.25">
      <c r="S1541" s="2"/>
      <c r="T1541" s="2"/>
      <c r="U1541" s="2"/>
      <c r="V1541" s="2"/>
      <c r="W1541" s="2"/>
      <c r="X1541" s="2"/>
      <c r="Y1541" s="2"/>
      <c r="Z1541" s="2"/>
    </row>
    <row r="1542" spans="19:26" x14ac:dyDescent="0.25">
      <c r="S1542" s="2"/>
      <c r="T1542" s="2"/>
      <c r="U1542" s="2"/>
      <c r="V1542" s="2"/>
      <c r="W1542" s="2"/>
      <c r="X1542" s="2"/>
      <c r="Y1542" s="2"/>
      <c r="Z1542" s="2"/>
    </row>
    <row r="1543" spans="19:26" x14ac:dyDescent="0.25">
      <c r="S1543" s="2"/>
      <c r="T1543" s="2"/>
      <c r="U1543" s="2"/>
      <c r="V1543" s="2"/>
      <c r="W1543" s="2"/>
      <c r="X1543" s="2"/>
      <c r="Y1543" s="2"/>
      <c r="Z1543" s="2"/>
    </row>
    <row r="1544" spans="19:26" x14ac:dyDescent="0.25">
      <c r="S1544" s="2"/>
      <c r="T1544" s="2"/>
      <c r="U1544" s="2"/>
      <c r="V1544" s="2"/>
      <c r="W1544" s="2"/>
      <c r="X1544" s="2"/>
      <c r="Y1544" s="2"/>
      <c r="Z1544" s="2"/>
    </row>
    <row r="1545" spans="19:26" x14ac:dyDescent="0.25">
      <c r="S1545" s="2"/>
      <c r="T1545" s="2"/>
      <c r="U1545" s="2"/>
      <c r="V1545" s="2"/>
      <c r="W1545" s="2"/>
      <c r="X1545" s="2"/>
      <c r="Y1545" s="2"/>
      <c r="Z1545" s="2"/>
    </row>
    <row r="1546" spans="19:26" x14ac:dyDescent="0.25">
      <c r="S1546" s="2"/>
      <c r="T1546" s="2"/>
      <c r="U1546" s="2"/>
      <c r="V1546" s="2"/>
      <c r="W1546" s="2"/>
      <c r="X1546" s="2"/>
      <c r="Y1546" s="2"/>
      <c r="Z1546" s="2"/>
    </row>
    <row r="1547" spans="19:26" x14ac:dyDescent="0.25">
      <c r="S1547" s="2"/>
      <c r="T1547" s="2"/>
      <c r="U1547" s="2"/>
      <c r="V1547" s="2"/>
      <c r="W1547" s="2"/>
      <c r="X1547" s="2"/>
      <c r="Y1547" s="2"/>
      <c r="Z1547" s="2"/>
    </row>
    <row r="1548" spans="19:26" x14ac:dyDescent="0.25">
      <c r="S1548" s="2"/>
      <c r="T1548" s="2"/>
      <c r="U1548" s="2"/>
      <c r="V1548" s="2"/>
      <c r="W1548" s="2"/>
      <c r="X1548" s="2"/>
      <c r="Y1548" s="2"/>
      <c r="Z1548" s="2"/>
    </row>
    <row r="1549" spans="19:26" x14ac:dyDescent="0.25">
      <c r="S1549" s="2"/>
      <c r="T1549" s="2"/>
      <c r="U1549" s="2"/>
      <c r="V1549" s="2"/>
      <c r="W1549" s="2"/>
      <c r="X1549" s="2"/>
      <c r="Y1549" s="2"/>
      <c r="Z1549" s="2"/>
    </row>
    <row r="1550" spans="19:26" x14ac:dyDescent="0.25">
      <c r="S1550" s="2"/>
      <c r="T1550" s="2"/>
      <c r="U1550" s="2"/>
      <c r="V1550" s="2"/>
      <c r="W1550" s="2"/>
      <c r="X1550" s="2"/>
      <c r="Y1550" s="2"/>
      <c r="Z1550" s="2"/>
    </row>
    <row r="1551" spans="19:26" x14ac:dyDescent="0.25">
      <c r="S1551" s="2"/>
      <c r="T1551" s="2"/>
      <c r="U1551" s="2"/>
      <c r="V1551" s="2"/>
      <c r="W1551" s="2"/>
      <c r="X1551" s="2"/>
      <c r="Y1551" s="2"/>
      <c r="Z1551" s="2"/>
    </row>
    <row r="1552" spans="19:26" x14ac:dyDescent="0.25">
      <c r="S1552" s="2"/>
      <c r="T1552" s="2"/>
      <c r="U1552" s="2"/>
      <c r="V1552" s="2"/>
      <c r="W1552" s="2"/>
      <c r="X1552" s="2"/>
      <c r="Y1552" s="2"/>
      <c r="Z1552" s="2"/>
    </row>
    <row r="1553" spans="19:26" x14ac:dyDescent="0.25">
      <c r="S1553" s="2"/>
      <c r="T1553" s="2"/>
      <c r="U1553" s="2"/>
      <c r="V1553" s="2"/>
      <c r="W1553" s="2"/>
      <c r="X1553" s="2"/>
      <c r="Y1553" s="2"/>
      <c r="Z1553" s="2"/>
    </row>
    <row r="1554" spans="19:26" x14ac:dyDescent="0.25">
      <c r="S1554" s="2"/>
      <c r="T1554" s="2"/>
      <c r="U1554" s="2"/>
      <c r="V1554" s="2"/>
      <c r="W1554" s="2"/>
      <c r="X1554" s="2"/>
      <c r="Y1554" s="2"/>
      <c r="Z1554" s="2"/>
    </row>
    <row r="1555" spans="19:26" x14ac:dyDescent="0.25">
      <c r="S1555" s="2"/>
      <c r="T1555" s="2"/>
      <c r="U1555" s="2"/>
      <c r="V1555" s="2"/>
      <c r="W1555" s="2"/>
      <c r="X1555" s="2"/>
      <c r="Y1555" s="2"/>
      <c r="Z1555" s="2"/>
    </row>
    <row r="1556" spans="19:26" x14ac:dyDescent="0.25">
      <c r="S1556" s="2"/>
      <c r="T1556" s="2"/>
      <c r="U1556" s="2"/>
      <c r="V1556" s="2"/>
      <c r="W1556" s="2"/>
      <c r="X1556" s="2"/>
      <c r="Y1556" s="2"/>
      <c r="Z1556" s="2"/>
    </row>
    <row r="1557" spans="19:26" x14ac:dyDescent="0.25">
      <c r="S1557" s="2"/>
      <c r="T1557" s="2"/>
      <c r="U1557" s="2"/>
      <c r="V1557" s="2"/>
      <c r="W1557" s="2"/>
      <c r="X1557" s="2"/>
      <c r="Y1557" s="2"/>
      <c r="Z1557" s="2"/>
    </row>
    <row r="1558" spans="19:26" x14ac:dyDescent="0.25">
      <c r="S1558" s="2"/>
      <c r="T1558" s="2"/>
      <c r="U1558" s="2"/>
      <c r="V1558" s="2"/>
      <c r="W1558" s="2"/>
      <c r="X1558" s="2"/>
      <c r="Y1558" s="2"/>
      <c r="Z1558" s="2"/>
    </row>
    <row r="1559" spans="19:26" x14ac:dyDescent="0.25">
      <c r="S1559" s="2"/>
      <c r="T1559" s="2"/>
      <c r="U1559" s="2"/>
      <c r="V1559" s="2"/>
      <c r="W1559" s="2"/>
      <c r="X1559" s="2"/>
      <c r="Y1559" s="2"/>
      <c r="Z1559" s="2"/>
    </row>
    <row r="1560" spans="19:26" x14ac:dyDescent="0.25">
      <c r="S1560" s="2"/>
      <c r="T1560" s="2"/>
      <c r="U1560" s="2"/>
      <c r="V1560" s="2"/>
      <c r="W1560" s="2"/>
      <c r="X1560" s="2"/>
      <c r="Y1560" s="2"/>
      <c r="Z1560" s="2"/>
    </row>
    <row r="1561" spans="19:26" x14ac:dyDescent="0.25">
      <c r="S1561" s="2"/>
      <c r="T1561" s="2"/>
      <c r="U1561" s="2"/>
      <c r="V1561" s="2"/>
      <c r="W1561" s="2"/>
      <c r="X1561" s="2"/>
      <c r="Y1561" s="2"/>
      <c r="Z1561" s="2"/>
    </row>
    <row r="1562" spans="19:26" x14ac:dyDescent="0.25">
      <c r="S1562" s="2"/>
      <c r="T1562" s="2"/>
      <c r="U1562" s="2"/>
      <c r="V1562" s="2"/>
      <c r="W1562" s="2"/>
      <c r="X1562" s="2"/>
      <c r="Y1562" s="2"/>
      <c r="Z1562" s="2"/>
    </row>
    <row r="1563" spans="19:26" x14ac:dyDescent="0.25">
      <c r="S1563" s="2"/>
      <c r="T1563" s="2"/>
      <c r="U1563" s="2"/>
      <c r="V1563" s="2"/>
      <c r="W1563" s="2"/>
      <c r="X1563" s="2"/>
      <c r="Y1563" s="2"/>
      <c r="Z1563" s="2"/>
    </row>
    <row r="1564" spans="19:26" x14ac:dyDescent="0.25">
      <c r="S1564" s="2"/>
      <c r="T1564" s="2"/>
      <c r="U1564" s="2"/>
      <c r="V1564" s="2"/>
      <c r="W1564" s="2"/>
      <c r="X1564" s="2"/>
      <c r="Y1564" s="2"/>
      <c r="Z1564" s="2"/>
    </row>
    <row r="1565" spans="19:26" x14ac:dyDescent="0.25">
      <c r="S1565" s="2"/>
      <c r="T1565" s="2"/>
      <c r="U1565" s="2"/>
      <c r="V1565" s="2"/>
      <c r="W1565" s="2"/>
      <c r="X1565" s="2"/>
      <c r="Y1565" s="2"/>
      <c r="Z1565" s="2"/>
    </row>
    <row r="1566" spans="19:26" x14ac:dyDescent="0.25">
      <c r="S1566" s="2"/>
      <c r="T1566" s="2"/>
      <c r="U1566" s="2"/>
      <c r="V1566" s="2"/>
      <c r="W1566" s="2"/>
      <c r="X1566" s="2"/>
      <c r="Y1566" s="2"/>
      <c r="Z1566" s="2"/>
    </row>
    <row r="1567" spans="19:26" x14ac:dyDescent="0.25">
      <c r="S1567" s="2"/>
      <c r="T1567" s="2"/>
      <c r="U1567" s="2"/>
      <c r="V1567" s="2"/>
      <c r="W1567" s="2"/>
      <c r="X1567" s="2"/>
      <c r="Y1567" s="2"/>
      <c r="Z1567" s="2"/>
    </row>
    <row r="1568" spans="19:26" x14ac:dyDescent="0.25">
      <c r="S1568" s="2"/>
      <c r="T1568" s="2"/>
      <c r="U1568" s="2"/>
      <c r="V1568" s="2"/>
      <c r="W1568" s="2"/>
      <c r="X1568" s="2"/>
      <c r="Y1568" s="2"/>
      <c r="Z1568" s="2"/>
    </row>
    <row r="1569" spans="19:26" x14ac:dyDescent="0.25">
      <c r="S1569" s="2"/>
      <c r="T1569" s="2"/>
      <c r="U1569" s="2"/>
      <c r="V1569" s="2"/>
      <c r="W1569" s="2"/>
      <c r="X1569" s="2"/>
      <c r="Y1569" s="2"/>
      <c r="Z1569" s="2"/>
    </row>
    <row r="1570" spans="19:26" x14ac:dyDescent="0.25">
      <c r="S1570" s="2"/>
      <c r="T1570" s="2"/>
      <c r="U1570" s="2"/>
      <c r="V1570" s="2"/>
      <c r="W1570" s="2"/>
      <c r="X1570" s="2"/>
      <c r="Y1570" s="2"/>
      <c r="Z1570" s="2"/>
    </row>
    <row r="1571" spans="19:26" x14ac:dyDescent="0.25">
      <c r="S1571" s="2"/>
      <c r="T1571" s="2"/>
      <c r="U1571" s="2"/>
      <c r="V1571" s="2"/>
      <c r="W1571" s="2"/>
      <c r="X1571" s="2"/>
      <c r="Y1571" s="2"/>
      <c r="Z1571" s="2"/>
    </row>
    <row r="1572" spans="19:26" x14ac:dyDescent="0.25">
      <c r="S1572" s="2"/>
      <c r="T1572" s="2"/>
      <c r="U1572" s="2"/>
      <c r="V1572" s="2"/>
      <c r="W1572" s="2"/>
      <c r="X1572" s="2"/>
      <c r="Y1572" s="2"/>
      <c r="Z1572" s="2"/>
    </row>
    <row r="1573" spans="19:26" x14ac:dyDescent="0.25">
      <c r="S1573" s="2"/>
      <c r="T1573" s="2"/>
      <c r="U1573" s="2"/>
      <c r="V1573" s="2"/>
      <c r="W1573" s="2"/>
      <c r="X1573" s="2"/>
      <c r="Y1573" s="2"/>
      <c r="Z1573" s="2"/>
    </row>
    <row r="1574" spans="19:26" x14ac:dyDescent="0.25">
      <c r="S1574" s="2"/>
      <c r="T1574" s="2"/>
      <c r="U1574" s="2"/>
      <c r="V1574" s="2"/>
      <c r="W1574" s="2"/>
      <c r="X1574" s="2"/>
      <c r="Y1574" s="2"/>
      <c r="Z1574" s="2"/>
    </row>
    <row r="1575" spans="19:26" x14ac:dyDescent="0.25">
      <c r="S1575" s="2"/>
      <c r="T1575" s="2"/>
      <c r="U1575" s="2"/>
      <c r="V1575" s="2"/>
      <c r="W1575" s="2"/>
      <c r="X1575" s="2"/>
      <c r="Y1575" s="2"/>
      <c r="Z1575" s="2"/>
    </row>
    <row r="1576" spans="19:26" x14ac:dyDescent="0.25">
      <c r="S1576" s="2"/>
      <c r="T1576" s="2"/>
      <c r="U1576" s="2"/>
      <c r="V1576" s="2"/>
      <c r="W1576" s="2"/>
      <c r="X1576" s="2"/>
      <c r="Y1576" s="2"/>
      <c r="Z1576" s="2"/>
    </row>
    <row r="1577" spans="19:26" x14ac:dyDescent="0.25">
      <c r="S1577" s="2"/>
      <c r="T1577" s="2"/>
      <c r="U1577" s="2"/>
      <c r="V1577" s="2"/>
      <c r="W1577" s="2"/>
      <c r="X1577" s="2"/>
      <c r="Y1577" s="2"/>
      <c r="Z1577" s="2"/>
    </row>
    <row r="1578" spans="19:26" x14ac:dyDescent="0.25">
      <c r="S1578" s="2"/>
      <c r="T1578" s="2"/>
      <c r="U1578" s="2"/>
      <c r="V1578" s="2"/>
      <c r="W1578" s="2"/>
      <c r="X1578" s="2"/>
      <c r="Y1578" s="2"/>
      <c r="Z1578" s="2"/>
    </row>
    <row r="1579" spans="19:26" x14ac:dyDescent="0.25">
      <c r="S1579" s="2"/>
      <c r="T1579" s="2"/>
      <c r="U1579" s="2"/>
      <c r="V1579" s="2"/>
      <c r="W1579" s="2"/>
      <c r="X1579" s="2"/>
      <c r="Y1579" s="2"/>
      <c r="Z1579" s="2"/>
    </row>
    <row r="1580" spans="19:26" x14ac:dyDescent="0.25">
      <c r="S1580" s="2"/>
      <c r="T1580" s="2"/>
      <c r="U1580" s="2"/>
      <c r="V1580" s="2"/>
      <c r="W1580" s="2"/>
      <c r="X1580" s="2"/>
      <c r="Y1580" s="2"/>
      <c r="Z1580" s="2"/>
    </row>
    <row r="1581" spans="19:26" x14ac:dyDescent="0.25">
      <c r="S1581" s="2"/>
      <c r="T1581" s="2"/>
      <c r="U1581" s="2"/>
      <c r="V1581" s="2"/>
      <c r="W1581" s="2"/>
      <c r="X1581" s="2"/>
      <c r="Y1581" s="2"/>
      <c r="Z1581" s="2"/>
    </row>
    <row r="1582" spans="19:26" x14ac:dyDescent="0.25">
      <c r="S1582" s="2"/>
      <c r="T1582" s="2"/>
      <c r="U1582" s="2"/>
      <c r="V1582" s="2"/>
      <c r="W1582" s="2"/>
      <c r="X1582" s="2"/>
      <c r="Y1582" s="2"/>
      <c r="Z1582" s="2"/>
    </row>
    <row r="1583" spans="19:26" x14ac:dyDescent="0.25">
      <c r="S1583" s="2"/>
      <c r="T1583" s="2"/>
      <c r="U1583" s="2"/>
      <c r="V1583" s="2"/>
      <c r="W1583" s="2"/>
      <c r="X1583" s="2"/>
      <c r="Y1583" s="2"/>
      <c r="Z1583" s="2"/>
    </row>
    <row r="1584" spans="19:26" x14ac:dyDescent="0.25">
      <c r="S1584" s="2"/>
      <c r="T1584" s="2"/>
      <c r="U1584" s="2"/>
      <c r="V1584" s="2"/>
      <c r="W1584" s="2"/>
      <c r="X1584" s="2"/>
      <c r="Y1584" s="2"/>
      <c r="Z1584" s="2"/>
    </row>
    <row r="1585" spans="19:26" x14ac:dyDescent="0.25">
      <c r="S1585" s="2"/>
      <c r="T1585" s="2"/>
      <c r="U1585" s="2"/>
      <c r="V1585" s="2"/>
      <c r="W1585" s="2"/>
      <c r="X1585" s="2"/>
      <c r="Y1585" s="2"/>
      <c r="Z1585" s="2"/>
    </row>
    <row r="1586" spans="19:26" x14ac:dyDescent="0.25">
      <c r="S1586" s="2"/>
      <c r="T1586" s="2"/>
      <c r="U1586" s="2"/>
      <c r="V1586" s="2"/>
      <c r="W1586" s="2"/>
      <c r="X1586" s="2"/>
      <c r="Y1586" s="2"/>
      <c r="Z1586" s="2"/>
    </row>
    <row r="1587" spans="19:26" x14ac:dyDescent="0.25">
      <c r="S1587" s="2"/>
      <c r="T1587" s="2"/>
      <c r="U1587" s="2"/>
      <c r="V1587" s="2"/>
      <c r="W1587" s="2"/>
      <c r="X1587" s="2"/>
      <c r="Y1587" s="2"/>
      <c r="Z1587" s="2"/>
    </row>
    <row r="1588" spans="19:26" x14ac:dyDescent="0.25">
      <c r="S1588" s="2"/>
      <c r="T1588" s="2"/>
      <c r="U1588" s="2"/>
      <c r="V1588" s="2"/>
      <c r="W1588" s="2"/>
      <c r="X1588" s="2"/>
      <c r="Y1588" s="2"/>
      <c r="Z1588" s="2"/>
    </row>
    <row r="1589" spans="19:26" x14ac:dyDescent="0.25">
      <c r="S1589" s="2"/>
      <c r="T1589" s="2"/>
      <c r="U1589" s="2"/>
      <c r="V1589" s="2"/>
      <c r="W1589" s="2"/>
      <c r="X1589" s="2"/>
      <c r="Y1589" s="2"/>
      <c r="Z1589" s="2"/>
    </row>
    <row r="1590" spans="19:26" x14ac:dyDescent="0.25">
      <c r="S1590" s="2"/>
      <c r="T1590" s="2"/>
      <c r="U1590" s="2"/>
      <c r="V1590" s="2"/>
      <c r="W1590" s="2"/>
      <c r="X1590" s="2"/>
      <c r="Y1590" s="2"/>
      <c r="Z1590" s="2"/>
    </row>
    <row r="1591" spans="19:26" x14ac:dyDescent="0.25">
      <c r="S1591" s="2"/>
      <c r="T1591" s="2"/>
      <c r="U1591" s="2"/>
      <c r="V1591" s="2"/>
      <c r="W1591" s="2"/>
      <c r="X1591" s="2"/>
      <c r="Y1591" s="2"/>
      <c r="Z1591" s="2"/>
    </row>
    <row r="1592" spans="19:26" x14ac:dyDescent="0.25">
      <c r="S1592" s="2"/>
      <c r="T1592" s="2"/>
      <c r="U1592" s="2"/>
      <c r="V1592" s="2"/>
      <c r="W1592" s="2"/>
      <c r="X1592" s="2"/>
      <c r="Y1592" s="2"/>
      <c r="Z1592" s="2"/>
    </row>
    <row r="1593" spans="19:26" x14ac:dyDescent="0.25">
      <c r="S1593" s="2"/>
      <c r="T1593" s="2"/>
      <c r="U1593" s="2"/>
      <c r="V1593" s="2"/>
      <c r="W1593" s="2"/>
      <c r="X1593" s="2"/>
      <c r="Y1593" s="2"/>
      <c r="Z1593" s="2"/>
    </row>
    <row r="1594" spans="19:26" x14ac:dyDescent="0.25">
      <c r="S1594" s="2"/>
      <c r="T1594" s="2"/>
      <c r="U1594" s="2"/>
      <c r="V1594" s="2"/>
      <c r="W1594" s="2"/>
      <c r="X1594" s="2"/>
      <c r="Y1594" s="2"/>
      <c r="Z1594" s="2"/>
    </row>
  </sheetData>
  <mergeCells count="1">
    <mergeCell ref="B21:B26"/>
  </mergeCells>
  <phoneticPr fontId="12" type="noConversion"/>
  <hyperlinks>
    <hyperlink ref="B19" r:id="rId1" xr:uid="{00000000-0004-0000-0100-000000000000}"/>
    <hyperlink ref="B18" r:id="rId2" xr:uid="{00000000-0004-0000-0100-000001000000}"/>
  </hyperlinks>
  <pageMargins left="0.75" right="0.75" top="1" bottom="1" header="0.5" footer="0.5"/>
  <pageSetup orientation="portrait" r:id="rId3"/>
  <headerFooter alignWithMargins="0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J54"/>
  <sheetViews>
    <sheetView workbookViewId="0">
      <selection activeCell="C12" sqref="C12"/>
    </sheetView>
  </sheetViews>
  <sheetFormatPr defaultColWidth="9.109375" defaultRowHeight="13.2" x14ac:dyDescent="0.25"/>
  <cols>
    <col min="1" max="1" width="9.109375" style="1"/>
    <col min="2" max="2" width="31.44140625" style="1" customWidth="1"/>
    <col min="3" max="3" width="15.33203125" style="1" bestFit="1" customWidth="1"/>
    <col min="4" max="4" width="9.109375" style="1"/>
    <col min="5" max="5" width="9.33203125" style="1" bestFit="1" customWidth="1"/>
    <col min="6" max="16384" width="9.109375" style="1"/>
  </cols>
  <sheetData>
    <row r="3" spans="2:10" ht="34.5" customHeight="1" x14ac:dyDescent="0.3">
      <c r="B3" s="4" t="s">
        <v>30</v>
      </c>
    </row>
    <row r="4" spans="2:10" x14ac:dyDescent="0.25">
      <c r="B4" s="12" t="s">
        <v>65</v>
      </c>
    </row>
    <row r="5" spans="2:10" ht="13.8" thickBot="1" x14ac:dyDescent="0.3"/>
    <row r="6" spans="2:10" ht="13.8" thickBot="1" x14ac:dyDescent="0.3">
      <c r="B6" s="1" t="s">
        <v>1</v>
      </c>
      <c r="C6" s="7">
        <v>0.05</v>
      </c>
      <c r="E6" s="1" t="s">
        <v>40</v>
      </c>
    </row>
    <row r="7" spans="2:10" ht="13.8" thickBot="1" x14ac:dyDescent="0.3">
      <c r="B7" s="1" t="s">
        <v>9</v>
      </c>
      <c r="C7" s="10">
        <f>1-C6</f>
        <v>0.95</v>
      </c>
      <c r="E7" s="1" t="s">
        <v>41</v>
      </c>
    </row>
    <row r="8" spans="2:10" ht="13.8" thickBot="1" x14ac:dyDescent="0.3">
      <c r="B8" s="1" t="s">
        <v>31</v>
      </c>
      <c r="C8" s="7">
        <v>1E-3</v>
      </c>
      <c r="E8" s="1" t="s">
        <v>39</v>
      </c>
    </row>
    <row r="9" spans="2:10" ht="13.8" thickBot="1" x14ac:dyDescent="0.3">
      <c r="B9" s="1" t="s">
        <v>2</v>
      </c>
      <c r="C9" s="7">
        <v>0.05</v>
      </c>
      <c r="E9" s="1" t="s">
        <v>16</v>
      </c>
    </row>
    <row r="10" spans="2:10" ht="13.8" thickBot="1" x14ac:dyDescent="0.3">
      <c r="B10" s="1" t="s">
        <v>3</v>
      </c>
      <c r="C10" s="10">
        <f>1-C9</f>
        <v>0.95</v>
      </c>
      <c r="E10" s="1" t="s">
        <v>17</v>
      </c>
    </row>
    <row r="11" spans="2:10" ht="13.8" thickBot="1" x14ac:dyDescent="0.3">
      <c r="B11" s="1" t="s">
        <v>42</v>
      </c>
      <c r="C11" s="7">
        <v>1E-3</v>
      </c>
      <c r="E11" s="1" t="s">
        <v>32</v>
      </c>
    </row>
    <row r="12" spans="2:10" ht="13.8" thickBot="1" x14ac:dyDescent="0.3">
      <c r="B12" s="1" t="s">
        <v>67</v>
      </c>
      <c r="C12" s="17">
        <v>1</v>
      </c>
      <c r="E12" s="1" t="s">
        <v>34</v>
      </c>
    </row>
    <row r="13" spans="2:10" ht="15.6" x14ac:dyDescent="0.3">
      <c r="B13" s="3" t="s">
        <v>6</v>
      </c>
      <c r="C13" s="9">
        <f>IF(C12=2,F19,F18)</f>
        <v>10811.351642565276</v>
      </c>
      <c r="E13" s="1" t="s">
        <v>43</v>
      </c>
    </row>
    <row r="15" spans="2:10" x14ac:dyDescent="0.25">
      <c r="B15" t="s">
        <v>38</v>
      </c>
      <c r="D15" s="23"/>
      <c r="E15" s="23"/>
      <c r="F15" s="2"/>
      <c r="G15" s="2"/>
      <c r="H15" s="2"/>
      <c r="I15" s="23"/>
      <c r="J15" s="23"/>
    </row>
    <row r="16" spans="2:10" x14ac:dyDescent="0.25">
      <c r="D16" s="23"/>
      <c r="E16" s="23"/>
      <c r="F16" s="2">
        <f>ABS(NORMSINV(C6/2))</f>
        <v>1.9599639845400538</v>
      </c>
      <c r="G16" s="2">
        <f>ABS(NORMSINV(C6))</f>
        <v>1.6448536269514726</v>
      </c>
      <c r="H16" s="2"/>
      <c r="I16" s="23"/>
      <c r="J16" s="23"/>
    </row>
    <row r="17" spans="1:10" x14ac:dyDescent="0.25">
      <c r="B17"/>
      <c r="D17" s="23"/>
      <c r="E17" s="23"/>
      <c r="F17" s="2">
        <f>ABS(NORMSINV(C9))</f>
        <v>1.6448536269514726</v>
      </c>
      <c r="G17" s="2"/>
      <c r="H17" s="2"/>
      <c r="I17" s="23"/>
      <c r="J17" s="23"/>
    </row>
    <row r="18" spans="1:10" x14ac:dyDescent="0.25">
      <c r="B18" s="1" t="s">
        <v>37</v>
      </c>
      <c r="D18" s="23"/>
      <c r="E18" s="23"/>
      <c r="F18" s="18">
        <f>(($G$16+$F$17)^2)*($C$8*(1-$C$8))/($C$11^2)</f>
        <v>10811.351642565276</v>
      </c>
      <c r="G18" s="2" t="s">
        <v>36</v>
      </c>
      <c r="H18" s="2"/>
      <c r="I18" s="23"/>
      <c r="J18" s="23"/>
    </row>
    <row r="19" spans="1:10" x14ac:dyDescent="0.25">
      <c r="B19"/>
      <c r="D19" s="23"/>
      <c r="E19" s="23"/>
      <c r="F19" s="18">
        <f>(($F$16+$F$17)^2)*($C$8*(1-$C$8))/($C$11^2)</f>
        <v>12981.715302107355</v>
      </c>
      <c r="G19" s="2" t="s">
        <v>37</v>
      </c>
      <c r="H19" s="2"/>
      <c r="I19" s="23"/>
      <c r="J19" s="23"/>
    </row>
    <row r="20" spans="1:10" x14ac:dyDescent="0.25">
      <c r="D20" s="23"/>
      <c r="E20" s="23"/>
      <c r="F20" s="23"/>
      <c r="G20" s="23"/>
      <c r="H20" s="23"/>
      <c r="I20" s="23"/>
      <c r="J20" s="23"/>
    </row>
    <row r="21" spans="1:10" x14ac:dyDescent="0.25">
      <c r="B21" t="s">
        <v>36</v>
      </c>
      <c r="D21" s="23"/>
      <c r="E21" s="23"/>
      <c r="F21" s="23"/>
      <c r="G21" s="23"/>
      <c r="H21" s="23"/>
      <c r="I21" s="23"/>
      <c r="J21" s="23"/>
    </row>
    <row r="22" spans="1:10" x14ac:dyDescent="0.25">
      <c r="D22" s="23"/>
      <c r="E22" s="23"/>
      <c r="F22" s="23"/>
      <c r="G22" s="23"/>
      <c r="H22" s="23"/>
      <c r="I22" s="23"/>
      <c r="J22" s="23"/>
    </row>
    <row r="23" spans="1:10" x14ac:dyDescent="0.25">
      <c r="B23" t="s">
        <v>44</v>
      </c>
      <c r="D23" s="23"/>
      <c r="E23" s="23"/>
      <c r="F23" s="23"/>
      <c r="G23" s="23"/>
      <c r="H23" s="23"/>
      <c r="I23" s="23"/>
      <c r="J23" s="23"/>
    </row>
    <row r="24" spans="1:10" x14ac:dyDescent="0.25">
      <c r="B24" s="19" t="s">
        <v>45</v>
      </c>
      <c r="D24" s="23"/>
      <c r="E24" s="23"/>
      <c r="F24" s="23"/>
      <c r="G24" s="23"/>
      <c r="H24" s="23"/>
      <c r="I24" s="23"/>
      <c r="J24" s="23"/>
    </row>
    <row r="25" spans="1:10" x14ac:dyDescent="0.25">
      <c r="D25" s="23"/>
      <c r="E25" s="23"/>
      <c r="F25" s="23"/>
      <c r="G25" s="23"/>
      <c r="H25" s="23"/>
      <c r="I25" s="23"/>
      <c r="J25" s="23"/>
    </row>
    <row r="26" spans="1:10" x14ac:dyDescent="0.25">
      <c r="B26" s="1" t="s">
        <v>25</v>
      </c>
      <c r="D26" s="23"/>
      <c r="E26" s="23"/>
      <c r="F26" s="23"/>
      <c r="G26" s="23"/>
      <c r="H26" s="23"/>
      <c r="I26" s="23"/>
      <c r="J26" s="23"/>
    </row>
    <row r="27" spans="1:10" x14ac:dyDescent="0.25">
      <c r="A27" s="23"/>
      <c r="B27" s="23"/>
      <c r="C27" s="23"/>
      <c r="D27" s="23"/>
      <c r="E27" s="23"/>
      <c r="F27" s="23"/>
      <c r="G27" s="23"/>
      <c r="H27" s="23"/>
    </row>
    <row r="28" spans="1:10" ht="17.399999999999999" x14ac:dyDescent="0.3">
      <c r="A28" s="23"/>
      <c r="B28" s="4" t="s">
        <v>23</v>
      </c>
    </row>
    <row r="29" spans="1:10" ht="15.6" x14ac:dyDescent="0.3">
      <c r="A29" s="23"/>
      <c r="C29" s="14" t="s">
        <v>24</v>
      </c>
      <c r="D29" s="3" t="s">
        <v>27</v>
      </c>
      <c r="E29" s="3"/>
      <c r="F29" s="3" t="s">
        <v>28</v>
      </c>
      <c r="G29" s="3"/>
      <c r="H29" s="3"/>
    </row>
    <row r="30" spans="1:10" x14ac:dyDescent="0.25">
      <c r="A30" s="23"/>
      <c r="C30" s="15">
        <v>5</v>
      </c>
      <c r="D30" s="16">
        <f>0.4505</f>
        <v>0.45050000000000001</v>
      </c>
    </row>
    <row r="31" spans="1:10" x14ac:dyDescent="0.25">
      <c r="A31" s="23"/>
      <c r="C31" s="15">
        <v>10</v>
      </c>
      <c r="D31" s="16">
        <v>0.25890000000000002</v>
      </c>
    </row>
    <row r="32" spans="1:10" x14ac:dyDescent="0.25">
      <c r="A32" s="23"/>
      <c r="C32" s="15">
        <v>15</v>
      </c>
      <c r="D32" s="16">
        <v>0.18099999999999999</v>
      </c>
    </row>
    <row r="33" spans="1:4" x14ac:dyDescent="0.25">
      <c r="A33" s="23"/>
      <c r="C33" s="15">
        <v>20</v>
      </c>
      <c r="D33" s="16">
        <v>0.1391</v>
      </c>
    </row>
    <row r="34" spans="1:4" x14ac:dyDescent="0.25">
      <c r="A34" s="23"/>
      <c r="C34" s="15">
        <v>30</v>
      </c>
      <c r="D34" s="16">
        <v>9.5033973383185227E-2</v>
      </c>
    </row>
    <row r="35" spans="1:4" x14ac:dyDescent="0.25">
      <c r="A35" s="23"/>
      <c r="C35" s="15">
        <v>40</v>
      </c>
      <c r="D35" s="16">
        <v>7.2157697948190977E-2</v>
      </c>
    </row>
    <row r="36" spans="1:4" x14ac:dyDescent="0.25">
      <c r="A36" s="23"/>
      <c r="C36" s="15">
        <v>50</v>
      </c>
      <c r="D36" s="16">
        <v>5.8155214884919537E-2</v>
      </c>
    </row>
    <row r="37" spans="1:4" x14ac:dyDescent="0.25">
      <c r="A37" s="23"/>
      <c r="C37" s="15">
        <v>60</v>
      </c>
      <c r="D37" s="16">
        <v>4.8703016521935844E-2</v>
      </c>
    </row>
    <row r="38" spans="1:4" x14ac:dyDescent="0.25">
      <c r="A38" s="23"/>
      <c r="C38" s="15">
        <v>70</v>
      </c>
      <c r="D38" s="16">
        <v>4.189354238168342E-2</v>
      </c>
    </row>
    <row r="39" spans="1:4" x14ac:dyDescent="0.25">
      <c r="A39" s="23"/>
      <c r="C39" s="15">
        <v>80</v>
      </c>
      <c r="D39" s="16">
        <v>3.6754299693161893E-2</v>
      </c>
    </row>
    <row r="40" spans="1:4" x14ac:dyDescent="0.25">
      <c r="A40" s="23"/>
      <c r="C40" s="15">
        <v>90</v>
      </c>
      <c r="D40" s="16">
        <v>3.2738197799098347E-2</v>
      </c>
    </row>
    <row r="41" spans="1:4" x14ac:dyDescent="0.25">
      <c r="A41" s="23"/>
      <c r="C41" s="15">
        <v>100</v>
      </c>
      <c r="D41" s="16">
        <v>2.9513126560318112E-2</v>
      </c>
    </row>
    <row r="42" spans="1:4" x14ac:dyDescent="0.25">
      <c r="A42" s="23"/>
      <c r="C42" s="15">
        <v>125</v>
      </c>
      <c r="D42" s="16">
        <v>2.3681095944468128E-2</v>
      </c>
    </row>
    <row r="43" spans="1:4" x14ac:dyDescent="0.25">
      <c r="A43" s="23"/>
      <c r="C43" s="15">
        <v>150</v>
      </c>
      <c r="D43" s="16">
        <v>1.9773474445778799E-2</v>
      </c>
    </row>
    <row r="44" spans="1:4" x14ac:dyDescent="0.25">
      <c r="A44" s="23"/>
      <c r="C44" s="15">
        <v>175</v>
      </c>
      <c r="D44" s="16">
        <v>1.6972829692945675E-2</v>
      </c>
    </row>
    <row r="45" spans="1:4" x14ac:dyDescent="0.25">
      <c r="C45" s="15">
        <v>200</v>
      </c>
      <c r="D45" s="16">
        <v>1.4867058166974437E-2</v>
      </c>
    </row>
    <row r="46" spans="1:4" x14ac:dyDescent="0.25">
      <c r="C46" s="15">
        <v>300</v>
      </c>
      <c r="D46" s="16">
        <v>9.9361089951528602E-3</v>
      </c>
    </row>
    <row r="47" spans="1:4" x14ac:dyDescent="0.25">
      <c r="C47" s="15">
        <v>400</v>
      </c>
      <c r="D47" s="16">
        <v>7.4613976910800281E-3</v>
      </c>
    </row>
    <row r="48" spans="1:4" x14ac:dyDescent="0.25">
      <c r="C48" s="15">
        <v>500</v>
      </c>
      <c r="D48" s="16">
        <v>6.0000000000000001E-3</v>
      </c>
    </row>
    <row r="53" spans="2:2" x14ac:dyDescent="0.25">
      <c r="B53" s="26" t="str">
        <f>'Sample Size for Mean'!B42</f>
        <v>© TLC, 2003 Rev. 1.2</v>
      </c>
    </row>
    <row r="54" spans="2:2" x14ac:dyDescent="0.25">
      <c r="B54" s="19" t="s">
        <v>77</v>
      </c>
    </row>
  </sheetData>
  <phoneticPr fontId="0" type="noConversion"/>
  <hyperlinks>
    <hyperlink ref="B24" r:id="rId1" xr:uid="{00000000-0004-0000-0200-000000000000}"/>
    <hyperlink ref="B54" r:id="rId2" xr:uid="{00000000-0004-0000-0200-000001000000}"/>
  </hyperlinks>
  <pageMargins left="0.75" right="0.75" top="1" bottom="1" header="0.5" footer="0.5"/>
  <pageSetup orientation="portrait" r:id="rId3"/>
  <headerFooter alignWithMargins="0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4:H26"/>
  <sheetViews>
    <sheetView workbookViewId="0">
      <selection activeCell="J50" sqref="J50"/>
    </sheetView>
  </sheetViews>
  <sheetFormatPr defaultColWidth="9.109375" defaultRowHeight="13.2" x14ac:dyDescent="0.25"/>
  <cols>
    <col min="1" max="1" width="5.6640625" style="1" customWidth="1"/>
    <col min="2" max="2" width="33.44140625" style="1" customWidth="1"/>
    <col min="3" max="3" width="13.44140625" style="1" customWidth="1"/>
    <col min="4" max="16384" width="9.109375" style="1"/>
  </cols>
  <sheetData>
    <row r="4" spans="2:8" ht="17.399999999999999" x14ac:dyDescent="0.3">
      <c r="B4" s="4" t="s">
        <v>56</v>
      </c>
    </row>
    <row r="5" spans="2:8" x14ac:dyDescent="0.25">
      <c r="B5" s="12" t="s">
        <v>66</v>
      </c>
    </row>
    <row r="6" spans="2:8" ht="13.8" thickBot="1" x14ac:dyDescent="0.3"/>
    <row r="7" spans="2:8" ht="13.8" thickBot="1" x14ac:dyDescent="0.3">
      <c r="B7" s="1" t="s">
        <v>1</v>
      </c>
      <c r="C7" s="7">
        <v>0.05</v>
      </c>
      <c r="E7" s="1" t="s">
        <v>55</v>
      </c>
    </row>
    <row r="8" spans="2:8" ht="13.8" thickBot="1" x14ac:dyDescent="0.3">
      <c r="B8" s="1" t="s">
        <v>9</v>
      </c>
      <c r="C8" s="10">
        <f>1-C7</f>
        <v>0.95</v>
      </c>
      <c r="E8" s="1" t="s">
        <v>60</v>
      </c>
    </row>
    <row r="9" spans="2:8" ht="13.8" thickBot="1" x14ac:dyDescent="0.3">
      <c r="B9" s="1" t="s">
        <v>51</v>
      </c>
      <c r="C9" s="6">
        <v>0.01</v>
      </c>
      <c r="E9" s="1" t="s">
        <v>61</v>
      </c>
    </row>
    <row r="10" spans="2:8" ht="13.8" thickBot="1" x14ac:dyDescent="0.3">
      <c r="B10" s="1" t="s">
        <v>2</v>
      </c>
      <c r="C10" s="7">
        <v>0.05</v>
      </c>
      <c r="E10" s="1" t="s">
        <v>57</v>
      </c>
    </row>
    <row r="11" spans="2:8" ht="13.8" thickBot="1" x14ac:dyDescent="0.3">
      <c r="B11" s="1" t="s">
        <v>3</v>
      </c>
      <c r="C11" s="10">
        <f>1-C10</f>
        <v>0.95</v>
      </c>
      <c r="E11" s="1" t="s">
        <v>58</v>
      </c>
    </row>
    <row r="12" spans="2:8" ht="13.8" thickBot="1" x14ac:dyDescent="0.3">
      <c r="B12" s="1" t="s">
        <v>59</v>
      </c>
      <c r="C12" s="6">
        <v>0.05</v>
      </c>
      <c r="E12" s="1" t="s">
        <v>53</v>
      </c>
    </row>
    <row r="13" spans="2:8" ht="15.6" x14ac:dyDescent="0.3">
      <c r="B13" s="3" t="s">
        <v>6</v>
      </c>
      <c r="C13" s="9">
        <f>ROUNDUP(((H16/C9)*((((G16)/SQRT(H16))-(-G18))/(H16-1))^2),0)</f>
        <v>129</v>
      </c>
      <c r="E13" s="1" t="s">
        <v>54</v>
      </c>
    </row>
    <row r="15" spans="2:8" x14ac:dyDescent="0.25">
      <c r="B15" t="s">
        <v>44</v>
      </c>
      <c r="D15" s="23"/>
      <c r="E15" s="23"/>
      <c r="F15" s="23"/>
      <c r="G15" s="24" t="s">
        <v>49</v>
      </c>
      <c r="H15" s="24" t="s">
        <v>52</v>
      </c>
    </row>
    <row r="16" spans="2:8" x14ac:dyDescent="0.25">
      <c r="D16" s="23"/>
      <c r="E16" s="23"/>
      <c r="G16" s="24">
        <f>ABS(NORMSINV(C7))</f>
        <v>1.6448536269514726</v>
      </c>
      <c r="H16" s="25">
        <f>(C9+C12)/C9</f>
        <v>6</v>
      </c>
    </row>
    <row r="17" spans="2:8" x14ac:dyDescent="0.25">
      <c r="B17" s="26" t="str">
        <f>'Sample Size for Mean'!B42</f>
        <v>© TLC, 2003 Rev. 1.2</v>
      </c>
      <c r="D17" s="23"/>
      <c r="E17" s="23"/>
      <c r="G17" s="24" t="s">
        <v>50</v>
      </c>
      <c r="H17" s="13"/>
    </row>
    <row r="18" spans="2:8" x14ac:dyDescent="0.25">
      <c r="B18" s="19" t="s">
        <v>77</v>
      </c>
      <c r="D18" s="23"/>
      <c r="E18" s="23"/>
      <c r="G18" s="24">
        <f>ABS(NORMSINV(C10))</f>
        <v>1.6448536269514726</v>
      </c>
      <c r="H18" s="13"/>
    </row>
    <row r="19" spans="2:8" x14ac:dyDescent="0.25">
      <c r="B19" s="19" t="s">
        <v>62</v>
      </c>
    </row>
    <row r="21" spans="2:8" x14ac:dyDescent="0.25">
      <c r="B21" s="34"/>
    </row>
    <row r="22" spans="2:8" x14ac:dyDescent="0.25">
      <c r="B22" s="34"/>
    </row>
    <row r="23" spans="2:8" x14ac:dyDescent="0.25">
      <c r="B23" s="34"/>
    </row>
    <row r="24" spans="2:8" x14ac:dyDescent="0.25">
      <c r="B24" s="34"/>
    </row>
    <row r="25" spans="2:8" x14ac:dyDescent="0.25">
      <c r="B25" s="34"/>
    </row>
    <row r="26" spans="2:8" x14ac:dyDescent="0.25">
      <c r="B26" s="34"/>
    </row>
  </sheetData>
  <mergeCells count="1">
    <mergeCell ref="B21:B26"/>
  </mergeCells>
  <phoneticPr fontId="0" type="noConversion"/>
  <hyperlinks>
    <hyperlink ref="B19" r:id="rId1" xr:uid="{00000000-0004-0000-0300-000000000000}"/>
    <hyperlink ref="B18" r:id="rId2" xr:uid="{00000000-0004-0000-0300-000001000000}"/>
  </hyperlinks>
  <pageMargins left="0.75" right="0.75" top="1" bottom="1" header="0.5" footer="0.5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B483"/>
  <sheetViews>
    <sheetView tabSelected="1" workbookViewId="0">
      <selection activeCell="J25" sqref="J25"/>
    </sheetView>
  </sheetViews>
  <sheetFormatPr defaultRowHeight="13.2" x14ac:dyDescent="0.25"/>
  <cols>
    <col min="1" max="1" width="19.33203125" bestFit="1" customWidth="1"/>
    <col min="2" max="2" width="11" bestFit="1" customWidth="1"/>
    <col min="3" max="3" width="17.5546875" customWidth="1"/>
  </cols>
  <sheetData>
    <row r="1" spans="1:48" ht="36.75" customHeight="1" x14ac:dyDescent="0.25">
      <c r="A1" s="1"/>
      <c r="B1" s="1"/>
      <c r="C1" s="1"/>
      <c r="D1" s="1"/>
      <c r="E1" s="1"/>
      <c r="F1" s="1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</row>
    <row r="2" spans="1:48" ht="17.399999999999999" x14ac:dyDescent="0.3">
      <c r="A2" s="4" t="s">
        <v>90</v>
      </c>
      <c r="C2" s="1"/>
      <c r="D2" s="1"/>
      <c r="E2" s="1"/>
      <c r="F2" s="1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</row>
    <row r="3" spans="1:48" x14ac:dyDescent="0.25">
      <c r="A3" s="30" t="s">
        <v>91</v>
      </c>
      <c r="B3" s="30"/>
      <c r="C3" s="30"/>
      <c r="D3" s="1"/>
      <c r="E3" s="1"/>
      <c r="F3" s="1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</row>
    <row r="4" spans="1:48" ht="13.8" thickBo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</row>
    <row r="5" spans="1:48" ht="13.8" thickBot="1" x14ac:dyDescent="0.3">
      <c r="A5" s="30" t="s">
        <v>81</v>
      </c>
      <c r="B5" s="7">
        <v>0.9</v>
      </c>
      <c r="C5" s="30" t="s">
        <v>82</v>
      </c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</row>
    <row r="6" spans="1:48" ht="13.8" thickBot="1" x14ac:dyDescent="0.3">
      <c r="A6" s="30" t="s">
        <v>83</v>
      </c>
      <c r="B6" s="7">
        <f>1/(24*7*2)</f>
        <v>2.976190476190476E-3</v>
      </c>
      <c r="C6" s="30" t="s">
        <v>84</v>
      </c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</row>
    <row r="7" spans="1:48" ht="13.8" thickBot="1" x14ac:dyDescent="0.3">
      <c r="A7" s="30" t="s">
        <v>85</v>
      </c>
      <c r="B7" s="7">
        <v>800</v>
      </c>
      <c r="C7" s="30" t="s">
        <v>86</v>
      </c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</row>
    <row r="8" spans="1:48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</row>
    <row r="9" spans="1:48" x14ac:dyDescent="0.25">
      <c r="A9" s="30" t="s">
        <v>87</v>
      </c>
      <c r="B9" s="30" t="s">
        <v>88</v>
      </c>
      <c r="C9" s="31" t="s">
        <v>89</v>
      </c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</row>
    <row r="10" spans="1:48" ht="15.6" x14ac:dyDescent="0.3">
      <c r="A10" s="30">
        <v>0</v>
      </c>
      <c r="B10" s="32">
        <f t="shared" ref="B10:B22" si="0">$B$6 * _xlfn.CHISQ.INV( $B$5, 2 * (A10 + 1))</f>
        <v>1.3705863648774082E-2</v>
      </c>
      <c r="C10" s="33">
        <f t="shared" ref="C10:C22" si="1">B10*$B$7</f>
        <v>10.964690919019265</v>
      </c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</row>
    <row r="11" spans="1:48" ht="15.6" x14ac:dyDescent="0.3">
      <c r="A11" s="30">
        <v>1</v>
      </c>
      <c r="B11" s="32">
        <f t="shared" si="0"/>
        <v>2.315309624921089E-2</v>
      </c>
      <c r="C11" s="33">
        <f t="shared" si="1"/>
        <v>18.522476999368713</v>
      </c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</row>
    <row r="12" spans="1:48" ht="15.6" x14ac:dyDescent="0.3">
      <c r="A12" s="30">
        <v>2</v>
      </c>
      <c r="B12" s="32">
        <f t="shared" si="0"/>
        <v>3.1680478201394108E-2</v>
      </c>
      <c r="C12" s="33">
        <f t="shared" si="1"/>
        <v>25.344382561115285</v>
      </c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</row>
    <row r="13" spans="1:48" ht="15.6" x14ac:dyDescent="0.3">
      <c r="A13" s="30">
        <v>3</v>
      </c>
      <c r="B13" s="32">
        <f t="shared" si="0"/>
        <v>3.9766565882475374E-2</v>
      </c>
      <c r="C13" s="33">
        <f t="shared" si="1"/>
        <v>31.8132527059803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</row>
    <row r="14" spans="1:48" ht="15.6" x14ac:dyDescent="0.3">
      <c r="A14" s="30">
        <v>4</v>
      </c>
      <c r="B14" s="32">
        <f t="shared" si="0"/>
        <v>4.7580890393170414E-2</v>
      </c>
      <c r="C14" s="33">
        <f t="shared" si="1"/>
        <v>38.06471231453633</v>
      </c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</row>
    <row r="15" spans="1:48" ht="15.6" x14ac:dyDescent="0.3">
      <c r="A15" s="30">
        <v>5</v>
      </c>
      <c r="B15" s="32">
        <f t="shared" si="0"/>
        <v>5.5206392222331077E-2</v>
      </c>
      <c r="C15" s="33">
        <f t="shared" si="1"/>
        <v>44.16511377786486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</row>
    <row r="16" spans="1:48" ht="15.6" x14ac:dyDescent="0.3">
      <c r="A16" s="30">
        <v>6</v>
      </c>
      <c r="B16" s="32">
        <f t="shared" si="0"/>
        <v>6.2690905395824587E-2</v>
      </c>
      <c r="C16" s="33">
        <f t="shared" si="1"/>
        <v>50.152724316659672</v>
      </c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</row>
    <row r="17" spans="1:54" ht="15.6" x14ac:dyDescent="0.3">
      <c r="A17" s="30">
        <v>7</v>
      </c>
      <c r="B17" s="32">
        <f t="shared" si="0"/>
        <v>7.0064967033024145E-2</v>
      </c>
      <c r="C17" s="33">
        <f t="shared" si="1"/>
        <v>56.051973626419318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</row>
    <row r="18" spans="1:54" ht="15.6" x14ac:dyDescent="0.3">
      <c r="A18" s="30">
        <v>8</v>
      </c>
      <c r="B18" s="32">
        <f t="shared" si="0"/>
        <v>7.7349473460229801E-2</v>
      </c>
      <c r="C18" s="33">
        <f t="shared" si="1"/>
        <v>61.879578768183841</v>
      </c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</row>
    <row r="19" spans="1:54" ht="15.6" x14ac:dyDescent="0.3">
      <c r="A19" s="30">
        <v>9</v>
      </c>
      <c r="B19" s="32">
        <f t="shared" si="0"/>
        <v>8.4559466024719129E-2</v>
      </c>
      <c r="C19" s="33">
        <f t="shared" si="1"/>
        <v>67.647572819775306</v>
      </c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</row>
    <row r="20" spans="1:54" ht="15.6" x14ac:dyDescent="0.3">
      <c r="A20" s="30">
        <v>10</v>
      </c>
      <c r="B20" s="32">
        <f t="shared" si="0"/>
        <v>9.1706197452241164E-2</v>
      </c>
      <c r="C20" s="33">
        <f t="shared" si="1"/>
        <v>73.364957961792925</v>
      </c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</row>
    <row r="21" spans="1:54" ht="15.6" x14ac:dyDescent="0.3">
      <c r="A21" s="30">
        <v>15</v>
      </c>
      <c r="B21" s="32">
        <f t="shared" si="0"/>
        <v>0.12674031274696676</v>
      </c>
      <c r="C21" s="33">
        <f t="shared" si="1"/>
        <v>101.3922501975734</v>
      </c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</row>
    <row r="22" spans="1:54" ht="15.6" x14ac:dyDescent="0.3">
      <c r="A22" s="30">
        <v>20</v>
      </c>
      <c r="B22" s="32">
        <f t="shared" si="0"/>
        <v>0.16098274538902499</v>
      </c>
      <c r="C22" s="33">
        <f t="shared" si="1"/>
        <v>128.78619631121998</v>
      </c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</row>
    <row r="23" spans="1:54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</row>
    <row r="24" spans="1:54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</row>
    <row r="25" spans="1:54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</row>
    <row r="26" spans="1:54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</row>
    <row r="27" spans="1:54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</row>
    <row r="28" spans="1:54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</row>
    <row r="29" spans="1:54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</row>
    <row r="30" spans="1:54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</row>
    <row r="31" spans="1:54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</row>
    <row r="32" spans="1:54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</row>
    <row r="33" spans="1:54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</row>
    <row r="34" spans="1:54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</row>
    <row r="35" spans="1:54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</row>
    <row r="36" spans="1:54" x14ac:dyDescent="0.2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</row>
    <row r="37" spans="1:54" x14ac:dyDescent="0.2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</row>
    <row r="38" spans="1:54" x14ac:dyDescent="0.2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</row>
    <row r="39" spans="1:54" x14ac:dyDescent="0.2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</row>
    <row r="40" spans="1:54" x14ac:dyDescent="0.2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</row>
    <row r="41" spans="1:54" x14ac:dyDescent="0.2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</row>
    <row r="42" spans="1:54" x14ac:dyDescent="0.2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</row>
    <row r="43" spans="1:54" x14ac:dyDescent="0.2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</row>
    <row r="44" spans="1:54" x14ac:dyDescent="0.2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</row>
    <row r="45" spans="1:54" x14ac:dyDescent="0.2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</row>
    <row r="46" spans="1:54" x14ac:dyDescent="0.2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</row>
    <row r="47" spans="1:54" x14ac:dyDescent="0.2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</row>
    <row r="48" spans="1:54" x14ac:dyDescent="0.2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</row>
    <row r="49" spans="1:54" x14ac:dyDescent="0.2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</row>
    <row r="50" spans="1:54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</row>
    <row r="51" spans="1:54" x14ac:dyDescent="0.2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</row>
    <row r="52" spans="1:54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</row>
    <row r="53" spans="1:54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</row>
    <row r="54" spans="1:54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</row>
    <row r="55" spans="1:54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</row>
    <row r="56" spans="1:54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</row>
    <row r="57" spans="1:54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</row>
    <row r="58" spans="1:54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</row>
    <row r="59" spans="1:54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</row>
    <row r="60" spans="1:54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</row>
    <row r="61" spans="1:54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</row>
    <row r="62" spans="1:54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</row>
    <row r="63" spans="1:54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</row>
    <row r="64" spans="1:54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</row>
    <row r="65" spans="1:54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</row>
    <row r="66" spans="1:54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</row>
    <row r="67" spans="1:54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</row>
    <row r="68" spans="1:54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</row>
    <row r="69" spans="1:54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</row>
    <row r="70" spans="1:54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</row>
    <row r="71" spans="1:54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</row>
    <row r="72" spans="1:54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</row>
    <row r="73" spans="1:54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</row>
    <row r="74" spans="1:54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</row>
    <row r="75" spans="1:54" x14ac:dyDescent="0.2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</row>
    <row r="76" spans="1:54" x14ac:dyDescent="0.2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</row>
    <row r="77" spans="1:54" x14ac:dyDescent="0.2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</row>
    <row r="78" spans="1:54" x14ac:dyDescent="0.2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</row>
    <row r="79" spans="1:54" x14ac:dyDescent="0.2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</row>
    <row r="80" spans="1:54" x14ac:dyDescent="0.2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</row>
    <row r="81" spans="1:54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</row>
    <row r="82" spans="1:54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</row>
    <row r="83" spans="1:54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</row>
    <row r="84" spans="1:54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</row>
    <row r="85" spans="1:54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</row>
    <row r="86" spans="1:54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</row>
    <row r="87" spans="1:54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</row>
    <row r="88" spans="1:54" x14ac:dyDescent="0.2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</row>
    <row r="89" spans="1:54" x14ac:dyDescent="0.2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</row>
    <row r="90" spans="1:54" x14ac:dyDescent="0.2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</row>
    <row r="91" spans="1:54" x14ac:dyDescent="0.2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</row>
    <row r="92" spans="1:54" x14ac:dyDescent="0.2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</row>
    <row r="93" spans="1:54" x14ac:dyDescent="0.2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</row>
    <row r="94" spans="1:54" x14ac:dyDescent="0.2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</row>
    <row r="95" spans="1:54" x14ac:dyDescent="0.2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</row>
    <row r="96" spans="1:54" x14ac:dyDescent="0.2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</row>
    <row r="97" spans="1:54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</row>
    <row r="98" spans="1:54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</row>
    <row r="99" spans="1:54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</row>
    <row r="100" spans="1:54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</row>
    <row r="101" spans="1:54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</row>
    <row r="102" spans="1:54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</row>
    <row r="103" spans="1:54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</row>
    <row r="104" spans="1:54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</row>
    <row r="105" spans="1:54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</row>
    <row r="106" spans="1:54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</row>
    <row r="107" spans="1:54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</row>
    <row r="108" spans="1:54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</row>
    <row r="109" spans="1:54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</row>
    <row r="110" spans="1:54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</row>
    <row r="111" spans="1:54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</row>
    <row r="112" spans="1:54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</row>
    <row r="113" spans="1:54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</row>
    <row r="114" spans="1:54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</row>
    <row r="115" spans="1:54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</row>
    <row r="116" spans="1:54" x14ac:dyDescent="0.2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</row>
    <row r="117" spans="1:54" x14ac:dyDescent="0.2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</row>
    <row r="118" spans="1:54" x14ac:dyDescent="0.2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</row>
    <row r="119" spans="1:54" x14ac:dyDescent="0.2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</row>
    <row r="120" spans="1:54" x14ac:dyDescent="0.2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</row>
    <row r="121" spans="1:54" x14ac:dyDescent="0.2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</row>
    <row r="122" spans="1:54" x14ac:dyDescent="0.2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</row>
    <row r="123" spans="1:54" x14ac:dyDescent="0.2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</row>
    <row r="124" spans="1:54" x14ac:dyDescent="0.2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</row>
    <row r="125" spans="1:54" x14ac:dyDescent="0.2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</row>
    <row r="126" spans="1:54" x14ac:dyDescent="0.2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</row>
    <row r="127" spans="1:54" x14ac:dyDescent="0.2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</row>
    <row r="128" spans="1:54" x14ac:dyDescent="0.2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</row>
    <row r="129" spans="1:54" x14ac:dyDescent="0.2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</row>
    <row r="130" spans="1:54" x14ac:dyDescent="0.2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</row>
    <row r="131" spans="1:54" x14ac:dyDescent="0.2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</row>
    <row r="132" spans="1:54" x14ac:dyDescent="0.2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</row>
    <row r="133" spans="1:54" x14ac:dyDescent="0.2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</row>
    <row r="134" spans="1:54" x14ac:dyDescent="0.2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</row>
    <row r="135" spans="1:54" x14ac:dyDescent="0.2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</row>
    <row r="136" spans="1:54" x14ac:dyDescent="0.2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</row>
    <row r="137" spans="1:54" x14ac:dyDescent="0.2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</row>
    <row r="138" spans="1:54" x14ac:dyDescent="0.2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</row>
    <row r="139" spans="1:54" x14ac:dyDescent="0.2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</row>
    <row r="140" spans="1:54" x14ac:dyDescent="0.2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</row>
    <row r="141" spans="1:54" x14ac:dyDescent="0.2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</row>
    <row r="142" spans="1:54" x14ac:dyDescent="0.2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</row>
    <row r="143" spans="1:54" x14ac:dyDescent="0.2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</row>
    <row r="144" spans="1:54" x14ac:dyDescent="0.2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</row>
    <row r="145" spans="1:54" x14ac:dyDescent="0.2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</row>
    <row r="146" spans="1:54" x14ac:dyDescent="0.2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</row>
    <row r="147" spans="1:54" x14ac:dyDescent="0.2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</row>
    <row r="148" spans="1:54" x14ac:dyDescent="0.2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</row>
    <row r="149" spans="1:54" x14ac:dyDescent="0.2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</row>
    <row r="150" spans="1:54" x14ac:dyDescent="0.2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</row>
    <row r="151" spans="1:54" x14ac:dyDescent="0.2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</row>
    <row r="152" spans="1:54" x14ac:dyDescent="0.2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</row>
    <row r="153" spans="1:54" x14ac:dyDescent="0.2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</row>
    <row r="154" spans="1:54" x14ac:dyDescent="0.2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</row>
    <row r="155" spans="1:54" x14ac:dyDescent="0.2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</row>
    <row r="156" spans="1:54" x14ac:dyDescent="0.2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</row>
    <row r="157" spans="1:54" x14ac:dyDescent="0.2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</row>
    <row r="158" spans="1:54" x14ac:dyDescent="0.2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</row>
    <row r="159" spans="1:54" x14ac:dyDescent="0.2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</row>
    <row r="160" spans="1:54" x14ac:dyDescent="0.2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</row>
    <row r="161" spans="1:54" x14ac:dyDescent="0.2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</row>
    <row r="162" spans="1:54" x14ac:dyDescent="0.2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</row>
    <row r="163" spans="1:54" x14ac:dyDescent="0.2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</row>
    <row r="164" spans="1:54" x14ac:dyDescent="0.2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</row>
    <row r="165" spans="1:54" x14ac:dyDescent="0.2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</row>
    <row r="166" spans="1:54" x14ac:dyDescent="0.2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</row>
    <row r="167" spans="1:54" x14ac:dyDescent="0.2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</row>
    <row r="168" spans="1:54" x14ac:dyDescent="0.2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</row>
    <row r="169" spans="1:54" x14ac:dyDescent="0.2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</row>
    <row r="170" spans="1:54" x14ac:dyDescent="0.2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</row>
    <row r="171" spans="1:54" x14ac:dyDescent="0.2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</row>
    <row r="172" spans="1:54" x14ac:dyDescent="0.2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</row>
    <row r="173" spans="1:54" x14ac:dyDescent="0.2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</row>
    <row r="174" spans="1:54" x14ac:dyDescent="0.2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</row>
    <row r="175" spans="1:54" x14ac:dyDescent="0.2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</row>
    <row r="176" spans="1:54" x14ac:dyDescent="0.2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</row>
    <row r="177" spans="1:54" x14ac:dyDescent="0.2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</row>
    <row r="178" spans="1:54" x14ac:dyDescent="0.2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</row>
    <row r="179" spans="1:54" x14ac:dyDescent="0.2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</row>
    <row r="180" spans="1:54" x14ac:dyDescent="0.2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</row>
    <row r="181" spans="1:54" x14ac:dyDescent="0.2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</row>
    <row r="182" spans="1:54" x14ac:dyDescent="0.2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</row>
    <row r="183" spans="1:54" x14ac:dyDescent="0.2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</row>
    <row r="184" spans="1:54" x14ac:dyDescent="0.2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</row>
    <row r="185" spans="1:54" x14ac:dyDescent="0.2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</row>
    <row r="186" spans="1:54" x14ac:dyDescent="0.2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</row>
    <row r="187" spans="1:54" x14ac:dyDescent="0.2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</row>
    <row r="188" spans="1:54" x14ac:dyDescent="0.2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</row>
    <row r="189" spans="1:54" x14ac:dyDescent="0.2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</row>
    <row r="190" spans="1:54" x14ac:dyDescent="0.2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</row>
    <row r="191" spans="1:54" x14ac:dyDescent="0.2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</row>
    <row r="192" spans="1:54" x14ac:dyDescent="0.2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</row>
    <row r="193" spans="1:54" x14ac:dyDescent="0.2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</row>
    <row r="194" spans="1:54" x14ac:dyDescent="0.2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</row>
    <row r="195" spans="1:54" x14ac:dyDescent="0.2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</row>
    <row r="196" spans="1:54" x14ac:dyDescent="0.2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</row>
    <row r="197" spans="1:54" x14ac:dyDescent="0.2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</row>
    <row r="198" spans="1:54" x14ac:dyDescent="0.2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</row>
    <row r="199" spans="1:54" x14ac:dyDescent="0.2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</row>
    <row r="200" spans="1:54" x14ac:dyDescent="0.2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</row>
    <row r="201" spans="1:54" x14ac:dyDescent="0.2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</row>
    <row r="202" spans="1:54" x14ac:dyDescent="0.2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</row>
    <row r="203" spans="1:54" x14ac:dyDescent="0.2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</row>
    <row r="204" spans="1:54" x14ac:dyDescent="0.2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</row>
    <row r="205" spans="1:54" x14ac:dyDescent="0.2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</row>
    <row r="206" spans="1:54" x14ac:dyDescent="0.2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30"/>
      <c r="AV206" s="30"/>
      <c r="AW206" s="30"/>
      <c r="AX206" s="30"/>
      <c r="AY206" s="30"/>
      <c r="AZ206" s="30"/>
      <c r="BA206" s="30"/>
      <c r="BB206" s="30"/>
    </row>
    <row r="207" spans="1:54" x14ac:dyDescent="0.2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30"/>
      <c r="AV207" s="30"/>
      <c r="AW207" s="30"/>
      <c r="AX207" s="30"/>
      <c r="AY207" s="30"/>
      <c r="AZ207" s="30"/>
      <c r="BA207" s="30"/>
      <c r="BB207" s="30"/>
    </row>
    <row r="208" spans="1:54" x14ac:dyDescent="0.2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  <c r="AP208" s="30"/>
      <c r="AQ208" s="30"/>
      <c r="AR208" s="30"/>
      <c r="AS208" s="30"/>
      <c r="AT208" s="30"/>
      <c r="AU208" s="30"/>
      <c r="AV208" s="30"/>
      <c r="AW208" s="30"/>
      <c r="AX208" s="30"/>
      <c r="AY208" s="30"/>
      <c r="AZ208" s="30"/>
      <c r="BA208" s="30"/>
      <c r="BB208" s="30"/>
    </row>
    <row r="209" spans="1:54" x14ac:dyDescent="0.2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30"/>
      <c r="AV209" s="30"/>
      <c r="AW209" s="30"/>
      <c r="AX209" s="30"/>
      <c r="AY209" s="30"/>
      <c r="AZ209" s="30"/>
      <c r="BA209" s="30"/>
      <c r="BB209" s="30"/>
    </row>
    <row r="210" spans="1:54" x14ac:dyDescent="0.2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30"/>
      <c r="BA210" s="30"/>
      <c r="BB210" s="30"/>
    </row>
    <row r="211" spans="1:54" x14ac:dyDescent="0.2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30"/>
      <c r="BA211" s="30"/>
      <c r="BB211" s="30"/>
    </row>
    <row r="212" spans="1:54" x14ac:dyDescent="0.2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30"/>
      <c r="BA212" s="30"/>
      <c r="BB212" s="30"/>
    </row>
    <row r="213" spans="1:54" x14ac:dyDescent="0.2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30"/>
      <c r="AV213" s="30"/>
      <c r="AW213" s="30"/>
      <c r="AX213" s="30"/>
      <c r="AY213" s="30"/>
      <c r="AZ213" s="30"/>
      <c r="BA213" s="30"/>
      <c r="BB213" s="30"/>
    </row>
    <row r="214" spans="1:54" x14ac:dyDescent="0.2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  <c r="AP214" s="30"/>
      <c r="AQ214" s="30"/>
      <c r="AR214" s="30"/>
      <c r="AS214" s="30"/>
      <c r="AT214" s="30"/>
      <c r="AU214" s="30"/>
      <c r="AV214" s="30"/>
      <c r="AW214" s="30"/>
      <c r="AX214" s="30"/>
      <c r="AY214" s="30"/>
      <c r="AZ214" s="30"/>
      <c r="BA214" s="30"/>
      <c r="BB214" s="30"/>
    </row>
    <row r="215" spans="1:54" x14ac:dyDescent="0.2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AZ215" s="30"/>
      <c r="BA215" s="30"/>
      <c r="BB215" s="30"/>
    </row>
    <row r="216" spans="1:54" x14ac:dyDescent="0.2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AZ216" s="30"/>
      <c r="BA216" s="30"/>
      <c r="BB216" s="30"/>
    </row>
    <row r="217" spans="1:54" x14ac:dyDescent="0.2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0"/>
      <c r="AT217" s="30"/>
      <c r="AU217" s="30"/>
      <c r="AV217" s="30"/>
      <c r="AW217" s="30"/>
      <c r="AX217" s="30"/>
      <c r="AY217" s="30"/>
      <c r="AZ217" s="30"/>
      <c r="BA217" s="30"/>
      <c r="BB217" s="30"/>
    </row>
    <row r="218" spans="1:54" x14ac:dyDescent="0.2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30"/>
      <c r="AV218" s="30"/>
      <c r="AW218" s="30"/>
      <c r="AX218" s="30"/>
      <c r="AY218" s="30"/>
      <c r="AZ218" s="30"/>
      <c r="BA218" s="30"/>
      <c r="BB218" s="30"/>
    </row>
    <row r="219" spans="1:54" x14ac:dyDescent="0.2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AY219" s="30"/>
      <c r="AZ219" s="30"/>
      <c r="BA219" s="30"/>
      <c r="BB219" s="30"/>
    </row>
    <row r="220" spans="1:54" x14ac:dyDescent="0.2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  <c r="AP220" s="30"/>
      <c r="AQ220" s="30"/>
      <c r="AR220" s="30"/>
      <c r="AS220" s="30"/>
      <c r="AT220" s="30"/>
      <c r="AU220" s="30"/>
      <c r="AV220" s="30"/>
      <c r="AW220" s="30"/>
      <c r="AX220" s="30"/>
      <c r="AY220" s="30"/>
      <c r="AZ220" s="30"/>
      <c r="BA220" s="30"/>
      <c r="BB220" s="30"/>
    </row>
    <row r="221" spans="1:54" x14ac:dyDescent="0.2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30"/>
      <c r="AV221" s="30"/>
      <c r="AW221" s="30"/>
      <c r="AX221" s="30"/>
      <c r="AY221" s="30"/>
      <c r="AZ221" s="30"/>
      <c r="BA221" s="30"/>
      <c r="BB221" s="30"/>
    </row>
    <row r="222" spans="1:54" x14ac:dyDescent="0.2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30"/>
      <c r="AV222" s="30"/>
      <c r="AW222" s="30"/>
      <c r="AX222" s="30"/>
      <c r="AY222" s="30"/>
      <c r="AZ222" s="30"/>
      <c r="BA222" s="30"/>
      <c r="BB222" s="30"/>
    </row>
    <row r="223" spans="1:54" x14ac:dyDescent="0.2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  <c r="AP223" s="30"/>
      <c r="AQ223" s="30"/>
      <c r="AR223" s="30"/>
      <c r="AS223" s="30"/>
      <c r="AT223" s="30"/>
      <c r="AU223" s="30"/>
      <c r="AV223" s="30"/>
      <c r="AW223" s="30"/>
      <c r="AX223" s="30"/>
      <c r="AY223" s="30"/>
      <c r="AZ223" s="30"/>
      <c r="BA223" s="30"/>
      <c r="BB223" s="30"/>
    </row>
    <row r="224" spans="1:54" x14ac:dyDescent="0.2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30"/>
      <c r="AV224" s="30"/>
      <c r="AW224" s="30"/>
      <c r="AX224" s="30"/>
      <c r="AY224" s="30"/>
      <c r="AZ224" s="30"/>
      <c r="BA224" s="30"/>
      <c r="BB224" s="30"/>
    </row>
    <row r="225" spans="1:54" x14ac:dyDescent="0.2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30"/>
      <c r="AV225" s="30"/>
      <c r="AW225" s="30"/>
      <c r="AX225" s="30"/>
      <c r="AY225" s="30"/>
      <c r="AZ225" s="30"/>
      <c r="BA225" s="30"/>
      <c r="BB225" s="30"/>
    </row>
    <row r="226" spans="1:54" x14ac:dyDescent="0.2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  <c r="AP226" s="30"/>
      <c r="AQ226" s="30"/>
      <c r="AR226" s="30"/>
      <c r="AS226" s="30"/>
      <c r="AT226" s="30"/>
      <c r="AU226" s="30"/>
      <c r="AV226" s="30"/>
      <c r="AW226" s="30"/>
      <c r="AX226" s="30"/>
      <c r="AY226" s="30"/>
      <c r="AZ226" s="30"/>
      <c r="BA226" s="30"/>
      <c r="BB226" s="30"/>
    </row>
    <row r="227" spans="1:54" x14ac:dyDescent="0.2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0"/>
      <c r="AS227" s="30"/>
      <c r="AT227" s="30"/>
      <c r="AU227" s="30"/>
      <c r="AV227" s="30"/>
      <c r="AW227" s="30"/>
      <c r="AX227" s="30"/>
      <c r="AY227" s="30"/>
      <c r="AZ227" s="30"/>
      <c r="BA227" s="30"/>
      <c r="BB227" s="30"/>
    </row>
    <row r="228" spans="1:54" x14ac:dyDescent="0.2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30"/>
      <c r="AV228" s="30"/>
      <c r="AW228" s="30"/>
      <c r="AX228" s="30"/>
      <c r="AY228" s="30"/>
      <c r="AZ228" s="30"/>
      <c r="BA228" s="30"/>
      <c r="BB228" s="30"/>
    </row>
    <row r="229" spans="1:54" x14ac:dyDescent="0.2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  <c r="AP229" s="30"/>
      <c r="AQ229" s="30"/>
      <c r="AR229" s="30"/>
      <c r="AS229" s="30"/>
      <c r="AT229" s="30"/>
      <c r="AU229" s="30"/>
      <c r="AV229" s="30"/>
      <c r="AW229" s="30"/>
      <c r="AX229" s="30"/>
      <c r="AY229" s="30"/>
      <c r="AZ229" s="30"/>
      <c r="BA229" s="30"/>
      <c r="BB229" s="30"/>
    </row>
    <row r="230" spans="1:54" x14ac:dyDescent="0.2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  <c r="AP230" s="30"/>
      <c r="AQ230" s="30"/>
      <c r="AR230" s="30"/>
      <c r="AS230" s="30"/>
      <c r="AT230" s="30"/>
      <c r="AU230" s="30"/>
      <c r="AV230" s="30"/>
      <c r="AW230" s="30"/>
      <c r="AX230" s="30"/>
      <c r="AY230" s="30"/>
      <c r="AZ230" s="30"/>
      <c r="BA230" s="30"/>
      <c r="BB230" s="30"/>
    </row>
    <row r="231" spans="1:54" x14ac:dyDescent="0.2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0"/>
      <c r="AS231" s="30"/>
      <c r="AT231" s="30"/>
      <c r="AU231" s="30"/>
      <c r="AV231" s="30"/>
      <c r="AW231" s="30"/>
      <c r="AX231" s="30"/>
      <c r="AY231" s="30"/>
      <c r="AZ231" s="30"/>
      <c r="BA231" s="30"/>
      <c r="BB231" s="30"/>
    </row>
    <row r="232" spans="1:54" x14ac:dyDescent="0.2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0"/>
      <c r="AS232" s="30"/>
      <c r="AT232" s="30"/>
      <c r="AU232" s="30"/>
      <c r="AV232" s="30"/>
      <c r="AW232" s="30"/>
      <c r="AX232" s="30"/>
      <c r="AY232" s="30"/>
      <c r="AZ232" s="30"/>
      <c r="BA232" s="30"/>
      <c r="BB232" s="30"/>
    </row>
    <row r="233" spans="1:54" x14ac:dyDescent="0.2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30"/>
      <c r="AV233" s="30"/>
      <c r="AW233" s="30"/>
      <c r="AX233" s="30"/>
      <c r="AY233" s="30"/>
      <c r="AZ233" s="30"/>
      <c r="BA233" s="30"/>
      <c r="BB233" s="30"/>
    </row>
    <row r="234" spans="1:54" x14ac:dyDescent="0.2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30"/>
      <c r="AV234" s="30"/>
      <c r="AW234" s="30"/>
      <c r="AX234" s="30"/>
      <c r="AY234" s="30"/>
      <c r="AZ234" s="30"/>
      <c r="BA234" s="30"/>
      <c r="BB234" s="30"/>
    </row>
    <row r="235" spans="1:54" x14ac:dyDescent="0.2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  <c r="AP235" s="30"/>
      <c r="AQ235" s="30"/>
      <c r="AR235" s="30"/>
      <c r="AS235" s="30"/>
      <c r="AT235" s="30"/>
      <c r="AU235" s="30"/>
      <c r="AV235" s="30"/>
      <c r="AW235" s="30"/>
      <c r="AX235" s="30"/>
      <c r="AY235" s="30"/>
      <c r="AZ235" s="30"/>
      <c r="BA235" s="30"/>
      <c r="BB235" s="30"/>
    </row>
    <row r="236" spans="1:54" x14ac:dyDescent="0.2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0"/>
      <c r="AS236" s="30"/>
      <c r="AT236" s="30"/>
      <c r="AU236" s="30"/>
      <c r="AV236" s="30"/>
      <c r="AW236" s="30"/>
      <c r="AX236" s="30"/>
      <c r="AY236" s="30"/>
      <c r="AZ236" s="30"/>
      <c r="BA236" s="30"/>
      <c r="BB236" s="30"/>
    </row>
    <row r="237" spans="1:54" x14ac:dyDescent="0.2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0"/>
      <c r="AS237" s="30"/>
      <c r="AT237" s="30"/>
      <c r="AU237" s="30"/>
      <c r="AV237" s="30"/>
      <c r="AW237" s="30"/>
      <c r="AX237" s="30"/>
      <c r="AY237" s="30"/>
      <c r="AZ237" s="30"/>
      <c r="BA237" s="30"/>
      <c r="BB237" s="30"/>
    </row>
    <row r="238" spans="1:54" x14ac:dyDescent="0.2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0"/>
      <c r="AT238" s="30"/>
      <c r="AU238" s="30"/>
      <c r="AV238" s="30"/>
      <c r="AW238" s="30"/>
      <c r="AX238" s="30"/>
      <c r="AY238" s="30"/>
      <c r="AZ238" s="30"/>
      <c r="BA238" s="30"/>
      <c r="BB238" s="30"/>
    </row>
    <row r="239" spans="1:54" x14ac:dyDescent="0.2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30"/>
      <c r="AV239" s="30"/>
      <c r="AW239" s="30"/>
      <c r="AX239" s="30"/>
      <c r="AY239" s="30"/>
      <c r="AZ239" s="30"/>
      <c r="BA239" s="30"/>
      <c r="BB239" s="30"/>
    </row>
    <row r="240" spans="1:54" x14ac:dyDescent="0.2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30"/>
      <c r="AV240" s="30"/>
      <c r="AW240" s="30"/>
      <c r="AX240" s="30"/>
      <c r="AY240" s="30"/>
      <c r="AZ240" s="30"/>
      <c r="BA240" s="30"/>
      <c r="BB240" s="30"/>
    </row>
    <row r="241" spans="1:54" x14ac:dyDescent="0.2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  <c r="AP241" s="30"/>
      <c r="AQ241" s="30"/>
      <c r="AR241" s="30"/>
      <c r="AS241" s="30"/>
      <c r="AT241" s="30"/>
      <c r="AU241" s="30"/>
      <c r="AV241" s="30"/>
      <c r="AW241" s="30"/>
      <c r="AX241" s="30"/>
      <c r="AY241" s="30"/>
      <c r="AZ241" s="30"/>
      <c r="BA241" s="30"/>
      <c r="BB241" s="30"/>
    </row>
    <row r="242" spans="1:54" x14ac:dyDescent="0.2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30"/>
      <c r="AV242" s="30"/>
      <c r="AW242" s="30"/>
      <c r="AX242" s="30"/>
      <c r="AY242" s="30"/>
      <c r="AZ242" s="30"/>
      <c r="BA242" s="30"/>
      <c r="BB242" s="30"/>
    </row>
    <row r="243" spans="1:54" x14ac:dyDescent="0.2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30"/>
      <c r="AV243" s="30"/>
      <c r="AW243" s="30"/>
      <c r="AX243" s="30"/>
      <c r="AY243" s="30"/>
      <c r="AZ243" s="30"/>
      <c r="BA243" s="30"/>
      <c r="BB243" s="30"/>
    </row>
    <row r="244" spans="1:54" x14ac:dyDescent="0.2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  <c r="AP244" s="30"/>
      <c r="AQ244" s="30"/>
      <c r="AR244" s="30"/>
      <c r="AS244" s="30"/>
      <c r="AT244" s="30"/>
      <c r="AU244" s="30"/>
      <c r="AV244" s="30"/>
      <c r="AW244" s="30"/>
      <c r="AX244" s="30"/>
      <c r="AY244" s="30"/>
      <c r="AZ244" s="30"/>
      <c r="BA244" s="30"/>
      <c r="BB244" s="30"/>
    </row>
    <row r="245" spans="1:54" x14ac:dyDescent="0.2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30"/>
      <c r="AV245" s="30"/>
      <c r="AW245" s="30"/>
      <c r="AX245" s="30"/>
      <c r="AY245" s="30"/>
      <c r="AZ245" s="30"/>
      <c r="BA245" s="30"/>
      <c r="BB245" s="30"/>
    </row>
    <row r="246" spans="1:54" x14ac:dyDescent="0.2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30"/>
      <c r="AV246" s="30"/>
      <c r="AW246" s="30"/>
      <c r="AX246" s="30"/>
      <c r="AY246" s="30"/>
      <c r="AZ246" s="30"/>
      <c r="BA246" s="30"/>
      <c r="BB246" s="30"/>
    </row>
    <row r="247" spans="1:54" x14ac:dyDescent="0.2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  <c r="AP247" s="30"/>
      <c r="AQ247" s="30"/>
      <c r="AR247" s="30"/>
      <c r="AS247" s="30"/>
      <c r="AT247" s="30"/>
      <c r="AU247" s="30"/>
      <c r="AV247" s="30"/>
      <c r="AW247" s="30"/>
      <c r="AX247" s="30"/>
      <c r="AY247" s="30"/>
      <c r="AZ247" s="30"/>
      <c r="BA247" s="30"/>
      <c r="BB247" s="30"/>
    </row>
    <row r="248" spans="1:54" x14ac:dyDescent="0.2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30"/>
      <c r="AV248" s="30"/>
      <c r="AW248" s="30"/>
      <c r="AX248" s="30"/>
      <c r="AY248" s="30"/>
      <c r="AZ248" s="30"/>
      <c r="BA248" s="30"/>
      <c r="BB248" s="30"/>
    </row>
    <row r="249" spans="1:54" x14ac:dyDescent="0.2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30"/>
      <c r="AV249" s="30"/>
      <c r="AW249" s="30"/>
      <c r="AX249" s="30"/>
      <c r="AY249" s="30"/>
      <c r="AZ249" s="30"/>
      <c r="BA249" s="30"/>
      <c r="BB249" s="30"/>
    </row>
    <row r="250" spans="1:54" x14ac:dyDescent="0.2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  <c r="AP250" s="30"/>
      <c r="AQ250" s="30"/>
      <c r="AR250" s="30"/>
      <c r="AS250" s="30"/>
      <c r="AT250" s="30"/>
      <c r="AU250" s="30"/>
      <c r="AV250" s="30"/>
      <c r="AW250" s="30"/>
      <c r="AX250" s="30"/>
      <c r="AY250" s="30"/>
      <c r="AZ250" s="30"/>
      <c r="BA250" s="30"/>
      <c r="BB250" s="30"/>
    </row>
    <row r="251" spans="1:54" x14ac:dyDescent="0.2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30"/>
      <c r="AV251" s="30"/>
      <c r="AW251" s="30"/>
      <c r="AX251" s="30"/>
      <c r="AY251" s="30"/>
      <c r="AZ251" s="30"/>
      <c r="BA251" s="30"/>
      <c r="BB251" s="30"/>
    </row>
    <row r="252" spans="1:54" x14ac:dyDescent="0.2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30"/>
      <c r="AV252" s="30"/>
      <c r="AW252" s="30"/>
      <c r="AX252" s="30"/>
      <c r="AY252" s="30"/>
      <c r="AZ252" s="30"/>
      <c r="BA252" s="30"/>
      <c r="BB252" s="30"/>
    </row>
    <row r="253" spans="1:54" x14ac:dyDescent="0.2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  <c r="AP253" s="30"/>
      <c r="AQ253" s="30"/>
      <c r="AR253" s="30"/>
      <c r="AS253" s="30"/>
      <c r="AT253" s="30"/>
      <c r="AU253" s="30"/>
      <c r="AV253" s="30"/>
      <c r="AW253" s="30"/>
      <c r="AX253" s="30"/>
      <c r="AY253" s="30"/>
      <c r="AZ253" s="30"/>
      <c r="BA253" s="30"/>
      <c r="BB253" s="30"/>
    </row>
    <row r="254" spans="1:54" x14ac:dyDescent="0.2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30"/>
      <c r="AV254" s="30"/>
      <c r="AW254" s="30"/>
      <c r="AX254" s="30"/>
      <c r="AY254" s="30"/>
      <c r="AZ254" s="30"/>
      <c r="BA254" s="30"/>
      <c r="BB254" s="30"/>
    </row>
    <row r="255" spans="1:54" x14ac:dyDescent="0.2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30"/>
      <c r="AV255" s="30"/>
      <c r="AW255" s="30"/>
      <c r="AX255" s="30"/>
      <c r="AY255" s="30"/>
      <c r="AZ255" s="30"/>
      <c r="BA255" s="30"/>
      <c r="BB255" s="30"/>
    </row>
    <row r="256" spans="1:54" x14ac:dyDescent="0.2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  <c r="AP256" s="30"/>
      <c r="AQ256" s="30"/>
      <c r="AR256" s="30"/>
      <c r="AS256" s="30"/>
      <c r="AT256" s="30"/>
      <c r="AU256" s="30"/>
      <c r="AV256" s="30"/>
      <c r="AW256" s="30"/>
      <c r="AX256" s="30"/>
      <c r="AY256" s="30"/>
      <c r="AZ256" s="30"/>
      <c r="BA256" s="30"/>
      <c r="BB256" s="30"/>
    </row>
    <row r="257" spans="1:54" x14ac:dyDescent="0.2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30"/>
      <c r="AV257" s="30"/>
      <c r="AW257" s="30"/>
      <c r="AX257" s="30"/>
      <c r="AY257" s="30"/>
      <c r="AZ257" s="30"/>
      <c r="BA257" s="30"/>
      <c r="BB257" s="30"/>
    </row>
    <row r="258" spans="1:54" x14ac:dyDescent="0.2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30"/>
      <c r="AV258" s="30"/>
      <c r="AW258" s="30"/>
      <c r="AX258" s="30"/>
      <c r="AY258" s="30"/>
      <c r="AZ258" s="30"/>
      <c r="BA258" s="30"/>
      <c r="BB258" s="30"/>
    </row>
    <row r="259" spans="1:54" x14ac:dyDescent="0.2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  <c r="AP259" s="30"/>
      <c r="AQ259" s="30"/>
      <c r="AR259" s="30"/>
      <c r="AS259" s="30"/>
      <c r="AT259" s="30"/>
      <c r="AU259" s="30"/>
      <c r="AV259" s="30"/>
      <c r="AW259" s="30"/>
      <c r="AX259" s="30"/>
      <c r="AY259" s="30"/>
      <c r="AZ259" s="30"/>
      <c r="BA259" s="30"/>
      <c r="BB259" s="30"/>
    </row>
    <row r="260" spans="1:54" x14ac:dyDescent="0.2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30"/>
      <c r="AV260" s="30"/>
      <c r="AW260" s="30"/>
      <c r="AX260" s="30"/>
      <c r="AY260" s="30"/>
      <c r="AZ260" s="30"/>
      <c r="BA260" s="30"/>
      <c r="BB260" s="30"/>
    </row>
    <row r="261" spans="1:54" x14ac:dyDescent="0.2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30"/>
      <c r="AV261" s="30"/>
      <c r="AW261" s="30"/>
      <c r="AX261" s="30"/>
      <c r="AY261" s="30"/>
      <c r="AZ261" s="30"/>
      <c r="BA261" s="30"/>
      <c r="BB261" s="30"/>
    </row>
    <row r="262" spans="1:54" x14ac:dyDescent="0.2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  <c r="AP262" s="30"/>
      <c r="AQ262" s="30"/>
      <c r="AR262" s="30"/>
      <c r="AS262" s="30"/>
      <c r="AT262" s="30"/>
      <c r="AU262" s="30"/>
      <c r="AV262" s="30"/>
      <c r="AW262" s="30"/>
      <c r="AX262" s="30"/>
      <c r="AY262" s="30"/>
      <c r="AZ262" s="30"/>
      <c r="BA262" s="30"/>
      <c r="BB262" s="30"/>
    </row>
    <row r="263" spans="1:54" x14ac:dyDescent="0.2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30"/>
      <c r="AV263" s="30"/>
      <c r="AW263" s="30"/>
      <c r="AX263" s="30"/>
      <c r="AY263" s="30"/>
      <c r="AZ263" s="30"/>
      <c r="BA263" s="30"/>
      <c r="BB263" s="30"/>
    </row>
    <row r="264" spans="1:54" x14ac:dyDescent="0.2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30"/>
      <c r="AV264" s="30"/>
      <c r="AW264" s="30"/>
      <c r="AX264" s="30"/>
      <c r="AY264" s="30"/>
      <c r="AZ264" s="30"/>
      <c r="BA264" s="30"/>
      <c r="BB264" s="30"/>
    </row>
    <row r="265" spans="1:54" x14ac:dyDescent="0.2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  <c r="AP265" s="30"/>
      <c r="AQ265" s="30"/>
      <c r="AR265" s="30"/>
      <c r="AS265" s="30"/>
      <c r="AT265" s="30"/>
      <c r="AU265" s="30"/>
      <c r="AV265" s="30"/>
      <c r="AW265" s="30"/>
      <c r="AX265" s="30"/>
      <c r="AY265" s="30"/>
      <c r="AZ265" s="30"/>
      <c r="BA265" s="30"/>
      <c r="BB265" s="30"/>
    </row>
    <row r="266" spans="1:54" x14ac:dyDescent="0.2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30"/>
      <c r="AV266" s="30"/>
      <c r="AW266" s="30"/>
      <c r="AX266" s="30"/>
      <c r="AY266" s="30"/>
      <c r="AZ266" s="30"/>
      <c r="BA266" s="30"/>
      <c r="BB266" s="30"/>
    </row>
    <row r="267" spans="1:54" x14ac:dyDescent="0.2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30"/>
      <c r="AV267" s="30"/>
      <c r="AW267" s="30"/>
      <c r="AX267" s="30"/>
      <c r="AY267" s="30"/>
      <c r="AZ267" s="30"/>
      <c r="BA267" s="30"/>
      <c r="BB267" s="30"/>
    </row>
    <row r="268" spans="1:54" x14ac:dyDescent="0.2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0"/>
      <c r="AT268" s="30"/>
      <c r="AU268" s="30"/>
      <c r="AV268" s="30"/>
      <c r="AW268" s="30"/>
      <c r="AX268" s="30"/>
      <c r="AY268" s="30"/>
      <c r="AZ268" s="30"/>
      <c r="BA268" s="30"/>
      <c r="BB268" s="30"/>
    </row>
    <row r="269" spans="1:54" x14ac:dyDescent="0.2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30"/>
      <c r="AV269" s="30"/>
      <c r="AW269" s="30"/>
      <c r="AX269" s="30"/>
      <c r="AY269" s="30"/>
      <c r="AZ269" s="30"/>
      <c r="BA269" s="30"/>
      <c r="BB269" s="30"/>
    </row>
    <row r="270" spans="1:54" x14ac:dyDescent="0.2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30"/>
      <c r="AV270" s="30"/>
      <c r="AW270" s="30"/>
      <c r="AX270" s="30"/>
      <c r="AY270" s="30"/>
      <c r="AZ270" s="30"/>
      <c r="BA270" s="30"/>
      <c r="BB270" s="30"/>
    </row>
    <row r="271" spans="1:54" x14ac:dyDescent="0.2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0"/>
      <c r="AT271" s="30"/>
      <c r="AU271" s="30"/>
      <c r="AV271" s="30"/>
      <c r="AW271" s="30"/>
      <c r="AX271" s="30"/>
      <c r="AY271" s="30"/>
      <c r="AZ271" s="30"/>
      <c r="BA271" s="30"/>
      <c r="BB271" s="30"/>
    </row>
    <row r="272" spans="1:54" x14ac:dyDescent="0.2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30"/>
      <c r="AV272" s="30"/>
      <c r="AW272" s="30"/>
      <c r="AX272" s="30"/>
      <c r="AY272" s="30"/>
      <c r="AZ272" s="30"/>
      <c r="BA272" s="30"/>
      <c r="BB272" s="30"/>
    </row>
    <row r="273" spans="1:54" x14ac:dyDescent="0.2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30"/>
      <c r="AV273" s="30"/>
      <c r="AW273" s="30"/>
      <c r="AX273" s="30"/>
      <c r="AY273" s="30"/>
      <c r="AZ273" s="30"/>
      <c r="BA273" s="30"/>
      <c r="BB273" s="30"/>
    </row>
    <row r="274" spans="1:54" x14ac:dyDescent="0.2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  <c r="AP274" s="30"/>
      <c r="AQ274" s="30"/>
      <c r="AR274" s="30"/>
      <c r="AS274" s="30"/>
      <c r="AT274" s="30"/>
      <c r="AU274" s="30"/>
      <c r="AV274" s="30"/>
      <c r="AW274" s="30"/>
      <c r="AX274" s="30"/>
      <c r="AY274" s="30"/>
      <c r="AZ274" s="30"/>
      <c r="BA274" s="30"/>
      <c r="BB274" s="30"/>
    </row>
    <row r="275" spans="1:54" x14ac:dyDescent="0.2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  <c r="AP275" s="30"/>
      <c r="AQ275" s="30"/>
      <c r="AR275" s="30"/>
      <c r="AS275" s="30"/>
      <c r="AT275" s="30"/>
      <c r="AU275" s="30"/>
      <c r="AV275" s="30"/>
      <c r="AW275" s="30"/>
      <c r="AX275" s="30"/>
      <c r="AY275" s="30"/>
      <c r="AZ275" s="30"/>
      <c r="BA275" s="30"/>
      <c r="BB275" s="30"/>
    </row>
    <row r="276" spans="1:54" x14ac:dyDescent="0.2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30"/>
      <c r="AV276" s="30"/>
      <c r="AW276" s="30"/>
      <c r="AX276" s="30"/>
      <c r="AY276" s="30"/>
      <c r="AZ276" s="30"/>
      <c r="BA276" s="30"/>
      <c r="BB276" s="30"/>
    </row>
    <row r="277" spans="1:54" x14ac:dyDescent="0.2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  <c r="AP277" s="30"/>
      <c r="AQ277" s="30"/>
      <c r="AR277" s="30"/>
      <c r="AS277" s="30"/>
      <c r="AT277" s="30"/>
      <c r="AU277" s="30"/>
      <c r="AV277" s="30"/>
      <c r="AW277" s="30"/>
      <c r="AX277" s="30"/>
      <c r="AY277" s="30"/>
      <c r="AZ277" s="30"/>
      <c r="BA277" s="30"/>
      <c r="BB277" s="30"/>
    </row>
    <row r="278" spans="1:54" x14ac:dyDescent="0.2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30"/>
      <c r="BA278" s="30"/>
      <c r="BB278" s="30"/>
    </row>
    <row r="279" spans="1:54" x14ac:dyDescent="0.2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</row>
    <row r="280" spans="1:54" x14ac:dyDescent="0.2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  <c r="AZ280" s="30"/>
      <c r="BA280" s="30"/>
      <c r="BB280" s="30"/>
    </row>
    <row r="281" spans="1:54" x14ac:dyDescent="0.2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  <c r="AP281" s="30"/>
      <c r="AQ281" s="30"/>
      <c r="AR281" s="30"/>
      <c r="AS281" s="30"/>
      <c r="AT281" s="30"/>
      <c r="AU281" s="30"/>
      <c r="AV281" s="30"/>
      <c r="AW281" s="30"/>
      <c r="AX281" s="30"/>
      <c r="AY281" s="30"/>
      <c r="AZ281" s="30"/>
      <c r="BA281" s="30"/>
      <c r="BB281" s="30"/>
    </row>
    <row r="282" spans="1:54" x14ac:dyDescent="0.2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  <c r="AP282" s="30"/>
      <c r="AQ282" s="30"/>
      <c r="AR282" s="30"/>
      <c r="AS282" s="30"/>
      <c r="AT282" s="30"/>
      <c r="AU282" s="30"/>
      <c r="AV282" s="30"/>
      <c r="AW282" s="30"/>
      <c r="AX282" s="30"/>
      <c r="AY282" s="30"/>
      <c r="AZ282" s="30"/>
      <c r="BA282" s="30"/>
      <c r="BB282" s="30"/>
    </row>
    <row r="283" spans="1:54" x14ac:dyDescent="0.2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  <c r="AP283" s="30"/>
      <c r="AQ283" s="30"/>
      <c r="AR283" s="30"/>
      <c r="AS283" s="30"/>
      <c r="AT283" s="30"/>
      <c r="AU283" s="30"/>
      <c r="AV283" s="30"/>
      <c r="AW283" s="30"/>
      <c r="AX283" s="30"/>
      <c r="AY283" s="30"/>
      <c r="AZ283" s="30"/>
      <c r="BA283" s="30"/>
      <c r="BB283" s="30"/>
    </row>
    <row r="284" spans="1:54" x14ac:dyDescent="0.2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30"/>
      <c r="AV284" s="30"/>
      <c r="AW284" s="30"/>
      <c r="AX284" s="30"/>
      <c r="AY284" s="30"/>
      <c r="AZ284" s="30"/>
      <c r="BA284" s="30"/>
      <c r="BB284" s="30"/>
    </row>
    <row r="285" spans="1:54" x14ac:dyDescent="0.2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30"/>
      <c r="AV285" s="30"/>
      <c r="AW285" s="30"/>
      <c r="AX285" s="30"/>
      <c r="AY285" s="30"/>
      <c r="AZ285" s="30"/>
      <c r="BA285" s="30"/>
      <c r="BB285" s="30"/>
    </row>
    <row r="286" spans="1:54" x14ac:dyDescent="0.2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  <c r="AP286" s="30"/>
      <c r="AQ286" s="30"/>
      <c r="AR286" s="30"/>
      <c r="AS286" s="30"/>
      <c r="AT286" s="30"/>
      <c r="AU286" s="30"/>
      <c r="AV286" s="30"/>
      <c r="AW286" s="30"/>
      <c r="AX286" s="30"/>
      <c r="AY286" s="30"/>
      <c r="AZ286" s="30"/>
      <c r="BA286" s="30"/>
      <c r="BB286" s="30"/>
    </row>
    <row r="287" spans="1:54" x14ac:dyDescent="0.2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  <c r="AP287" s="30"/>
      <c r="AQ287" s="30"/>
      <c r="AR287" s="30"/>
      <c r="AS287" s="30"/>
      <c r="AT287" s="30"/>
      <c r="AU287" s="30"/>
      <c r="AV287" s="30"/>
      <c r="AW287" s="30"/>
      <c r="AX287" s="30"/>
      <c r="AY287" s="30"/>
      <c r="AZ287" s="30"/>
      <c r="BA287" s="30"/>
      <c r="BB287" s="30"/>
    </row>
    <row r="288" spans="1:54" x14ac:dyDescent="0.2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  <c r="AP288" s="30"/>
      <c r="AQ288" s="30"/>
      <c r="AR288" s="30"/>
      <c r="AS288" s="30"/>
      <c r="AT288" s="30"/>
      <c r="AU288" s="30"/>
      <c r="AV288" s="30"/>
      <c r="AW288" s="30"/>
      <c r="AX288" s="30"/>
      <c r="AY288" s="30"/>
      <c r="AZ288" s="30"/>
      <c r="BA288" s="30"/>
      <c r="BB288" s="30"/>
    </row>
    <row r="289" spans="1:54" x14ac:dyDescent="0.2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  <c r="AP289" s="30"/>
      <c r="AQ289" s="30"/>
      <c r="AR289" s="30"/>
      <c r="AS289" s="30"/>
      <c r="AT289" s="30"/>
      <c r="AU289" s="30"/>
      <c r="AV289" s="30"/>
      <c r="AW289" s="30"/>
      <c r="AX289" s="30"/>
      <c r="AY289" s="30"/>
      <c r="AZ289" s="30"/>
      <c r="BA289" s="30"/>
      <c r="BB289" s="30"/>
    </row>
    <row r="290" spans="1:54" x14ac:dyDescent="0.2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  <c r="AP290" s="30"/>
      <c r="AQ290" s="30"/>
      <c r="AR290" s="30"/>
      <c r="AS290" s="30"/>
      <c r="AT290" s="30"/>
      <c r="AU290" s="30"/>
      <c r="AV290" s="30"/>
      <c r="AW290" s="30"/>
      <c r="AX290" s="30"/>
      <c r="AY290" s="30"/>
      <c r="AZ290" s="30"/>
      <c r="BA290" s="30"/>
      <c r="BB290" s="30"/>
    </row>
    <row r="291" spans="1:54" x14ac:dyDescent="0.2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0"/>
      <c r="AS291" s="30"/>
      <c r="AT291" s="30"/>
      <c r="AU291" s="30"/>
      <c r="AV291" s="30"/>
      <c r="AW291" s="30"/>
      <c r="AX291" s="30"/>
      <c r="AY291" s="30"/>
      <c r="AZ291" s="30"/>
      <c r="BA291" s="30"/>
      <c r="BB291" s="30"/>
    </row>
    <row r="292" spans="1:54" x14ac:dyDescent="0.2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  <c r="AP292" s="30"/>
      <c r="AQ292" s="30"/>
      <c r="AR292" s="30"/>
      <c r="AS292" s="30"/>
      <c r="AT292" s="30"/>
      <c r="AU292" s="30"/>
      <c r="AV292" s="30"/>
      <c r="AW292" s="30"/>
      <c r="AX292" s="30"/>
      <c r="AY292" s="30"/>
      <c r="AZ292" s="30"/>
      <c r="BA292" s="30"/>
      <c r="BB292" s="30"/>
    </row>
    <row r="293" spans="1:54" x14ac:dyDescent="0.2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  <c r="AP293" s="30"/>
      <c r="AQ293" s="30"/>
      <c r="AR293" s="30"/>
      <c r="AS293" s="30"/>
      <c r="AT293" s="30"/>
      <c r="AU293" s="30"/>
      <c r="AV293" s="30"/>
      <c r="AW293" s="30"/>
      <c r="AX293" s="30"/>
      <c r="AY293" s="30"/>
      <c r="AZ293" s="30"/>
      <c r="BA293" s="30"/>
      <c r="BB293" s="30"/>
    </row>
    <row r="294" spans="1:54" x14ac:dyDescent="0.2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0"/>
      <c r="AT294" s="30"/>
      <c r="AU294" s="30"/>
      <c r="AV294" s="30"/>
      <c r="AW294" s="30"/>
      <c r="AX294" s="30"/>
      <c r="AY294" s="30"/>
      <c r="AZ294" s="30"/>
      <c r="BA294" s="30"/>
      <c r="BB294" s="30"/>
    </row>
    <row r="295" spans="1:54" x14ac:dyDescent="0.2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  <c r="AP295" s="30"/>
      <c r="AQ295" s="30"/>
      <c r="AR295" s="30"/>
      <c r="AS295" s="30"/>
      <c r="AT295" s="30"/>
      <c r="AU295" s="30"/>
      <c r="AV295" s="30"/>
      <c r="AW295" s="30"/>
      <c r="AX295" s="30"/>
      <c r="AY295" s="30"/>
      <c r="AZ295" s="30"/>
      <c r="BA295" s="30"/>
      <c r="BB295" s="30"/>
    </row>
    <row r="296" spans="1:54" x14ac:dyDescent="0.2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  <c r="AP296" s="30"/>
      <c r="AQ296" s="30"/>
      <c r="AR296" s="30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</row>
    <row r="297" spans="1:54" x14ac:dyDescent="0.2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</row>
    <row r="298" spans="1:54" x14ac:dyDescent="0.2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</row>
    <row r="299" spans="1:54" x14ac:dyDescent="0.2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  <c r="AP299" s="30"/>
      <c r="AQ299" s="30"/>
      <c r="AR299" s="30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</row>
    <row r="300" spans="1:54" x14ac:dyDescent="0.2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0"/>
      <c r="AT300" s="30"/>
      <c r="AU300" s="30"/>
      <c r="AV300" s="30"/>
      <c r="AW300" s="30"/>
      <c r="AX300" s="30"/>
      <c r="AY300" s="30"/>
      <c r="AZ300" s="30"/>
      <c r="BA300" s="30"/>
      <c r="BB300" s="30"/>
    </row>
    <row r="301" spans="1:54" x14ac:dyDescent="0.2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0"/>
      <c r="AT301" s="30"/>
      <c r="AU301" s="30"/>
      <c r="AV301" s="30"/>
      <c r="AW301" s="30"/>
      <c r="AX301" s="30"/>
      <c r="AY301" s="30"/>
      <c r="AZ301" s="30"/>
      <c r="BA301" s="30"/>
      <c r="BB301" s="30"/>
    </row>
    <row r="302" spans="1:54" x14ac:dyDescent="0.2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  <c r="AP302" s="30"/>
      <c r="AQ302" s="30"/>
      <c r="AR302" s="30"/>
      <c r="AS302" s="30"/>
      <c r="AT302" s="30"/>
      <c r="AU302" s="30"/>
      <c r="AV302" s="30"/>
      <c r="AW302" s="30"/>
      <c r="AX302" s="30"/>
      <c r="AY302" s="30"/>
      <c r="AZ302" s="30"/>
      <c r="BA302" s="30"/>
      <c r="BB302" s="30"/>
    </row>
    <row r="303" spans="1:54" x14ac:dyDescent="0.2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0"/>
      <c r="AT303" s="30"/>
      <c r="AU303" s="30"/>
      <c r="AV303" s="30"/>
      <c r="AW303" s="30"/>
      <c r="AX303" s="30"/>
      <c r="AY303" s="30"/>
      <c r="AZ303" s="30"/>
      <c r="BA303" s="30"/>
      <c r="BB303" s="30"/>
    </row>
    <row r="304" spans="1:54" x14ac:dyDescent="0.2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0"/>
      <c r="AT304" s="30"/>
      <c r="AU304" s="30"/>
      <c r="AV304" s="30"/>
      <c r="AW304" s="30"/>
      <c r="AX304" s="30"/>
      <c r="AY304" s="30"/>
      <c r="AZ304" s="30"/>
      <c r="BA304" s="30"/>
      <c r="BB304" s="30"/>
    </row>
    <row r="305" spans="1:54" x14ac:dyDescent="0.2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0"/>
      <c r="AT305" s="30"/>
      <c r="AU305" s="30"/>
      <c r="AV305" s="30"/>
      <c r="AW305" s="30"/>
      <c r="AX305" s="30"/>
      <c r="AY305" s="30"/>
      <c r="AZ305" s="30"/>
      <c r="BA305" s="30"/>
      <c r="BB305" s="30"/>
    </row>
    <row r="306" spans="1:54" x14ac:dyDescent="0.2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  <c r="AP306" s="30"/>
      <c r="AQ306" s="30"/>
      <c r="AR306" s="30"/>
      <c r="AS306" s="30"/>
      <c r="AT306" s="30"/>
      <c r="AU306" s="30"/>
      <c r="AV306" s="30"/>
      <c r="AW306" s="30"/>
      <c r="AX306" s="30"/>
      <c r="AY306" s="30"/>
      <c r="AZ306" s="30"/>
      <c r="BA306" s="30"/>
      <c r="BB306" s="30"/>
    </row>
    <row r="307" spans="1:54" x14ac:dyDescent="0.2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  <c r="AO307" s="30"/>
      <c r="AP307" s="30"/>
      <c r="AQ307" s="30"/>
      <c r="AR307" s="30"/>
      <c r="AS307" s="30"/>
      <c r="AT307" s="30"/>
      <c r="AU307" s="30"/>
      <c r="AV307" s="30"/>
      <c r="AW307" s="30"/>
      <c r="AX307" s="30"/>
      <c r="AY307" s="30"/>
      <c r="AZ307" s="30"/>
      <c r="BA307" s="30"/>
      <c r="BB307" s="30"/>
    </row>
    <row r="308" spans="1:54" x14ac:dyDescent="0.2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  <c r="AP308" s="30"/>
      <c r="AQ308" s="30"/>
      <c r="AR308" s="30"/>
      <c r="AS308" s="30"/>
      <c r="AT308" s="30"/>
      <c r="AU308" s="30"/>
      <c r="AV308" s="30"/>
      <c r="AW308" s="30"/>
      <c r="AX308" s="30"/>
      <c r="AY308" s="30"/>
      <c r="AZ308" s="30"/>
      <c r="BA308" s="30"/>
      <c r="BB308" s="30"/>
    </row>
    <row r="309" spans="1:54" x14ac:dyDescent="0.2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  <c r="AP309" s="30"/>
      <c r="AQ309" s="30"/>
      <c r="AR309" s="30"/>
      <c r="AS309" s="30"/>
      <c r="AT309" s="30"/>
      <c r="AU309" s="30"/>
      <c r="AV309" s="30"/>
      <c r="AW309" s="30"/>
      <c r="AX309" s="30"/>
      <c r="AY309" s="30"/>
      <c r="AZ309" s="30"/>
      <c r="BA309" s="30"/>
      <c r="BB309" s="30"/>
    </row>
    <row r="310" spans="1:54" x14ac:dyDescent="0.2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  <c r="AP310" s="30"/>
      <c r="AQ310" s="30"/>
      <c r="AR310" s="30"/>
      <c r="AS310" s="30"/>
      <c r="AT310" s="30"/>
      <c r="AU310" s="30"/>
      <c r="AV310" s="30"/>
      <c r="AW310" s="30"/>
      <c r="AX310" s="30"/>
      <c r="AY310" s="30"/>
      <c r="AZ310" s="30"/>
      <c r="BA310" s="30"/>
      <c r="BB310" s="30"/>
    </row>
    <row r="311" spans="1:54" x14ac:dyDescent="0.2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0"/>
      <c r="AT311" s="30"/>
      <c r="AU311" s="30"/>
      <c r="AV311" s="30"/>
      <c r="AW311" s="30"/>
      <c r="AX311" s="30"/>
      <c r="AY311" s="30"/>
      <c r="AZ311" s="30"/>
      <c r="BA311" s="30"/>
      <c r="BB311" s="30"/>
    </row>
    <row r="312" spans="1:54" x14ac:dyDescent="0.2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0"/>
      <c r="AT312" s="30"/>
      <c r="AU312" s="30"/>
      <c r="AV312" s="30"/>
      <c r="AW312" s="30"/>
      <c r="AX312" s="30"/>
      <c r="AY312" s="30"/>
      <c r="AZ312" s="30"/>
      <c r="BA312" s="30"/>
      <c r="BB312" s="30"/>
    </row>
    <row r="313" spans="1:54" x14ac:dyDescent="0.2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0"/>
      <c r="AT313" s="30"/>
      <c r="AU313" s="30"/>
      <c r="AV313" s="30"/>
      <c r="AW313" s="30"/>
      <c r="AX313" s="30"/>
      <c r="AY313" s="30"/>
      <c r="AZ313" s="30"/>
      <c r="BA313" s="30"/>
      <c r="BB313" s="30"/>
    </row>
    <row r="314" spans="1:54" x14ac:dyDescent="0.2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0"/>
      <c r="AT314" s="30"/>
      <c r="AU314" s="30"/>
      <c r="AV314" s="30"/>
      <c r="AW314" s="30"/>
      <c r="AX314" s="30"/>
      <c r="AY314" s="30"/>
      <c r="AZ314" s="30"/>
      <c r="BA314" s="30"/>
      <c r="BB314" s="30"/>
    </row>
    <row r="315" spans="1:54" x14ac:dyDescent="0.2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0"/>
      <c r="AT315" s="30"/>
      <c r="AU315" s="30"/>
      <c r="AV315" s="30"/>
      <c r="AW315" s="30"/>
      <c r="AX315" s="30"/>
      <c r="AY315" s="30"/>
      <c r="AZ315" s="30"/>
      <c r="BA315" s="30"/>
      <c r="BB315" s="30"/>
    </row>
    <row r="316" spans="1:54" x14ac:dyDescent="0.2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  <c r="AP316" s="30"/>
      <c r="AQ316" s="30"/>
      <c r="AR316" s="30"/>
      <c r="AS316" s="30"/>
      <c r="AT316" s="30"/>
      <c r="AU316" s="30"/>
      <c r="AV316" s="30"/>
      <c r="AW316" s="30"/>
      <c r="AX316" s="30"/>
      <c r="AY316" s="30"/>
      <c r="AZ316" s="30"/>
      <c r="BA316" s="30"/>
      <c r="BB316" s="30"/>
    </row>
    <row r="317" spans="1:54" x14ac:dyDescent="0.2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  <c r="AP317" s="30"/>
      <c r="AQ317" s="30"/>
      <c r="AR317" s="30"/>
      <c r="AS317" s="30"/>
      <c r="AT317" s="30"/>
      <c r="AU317" s="30"/>
      <c r="AV317" s="30"/>
      <c r="AW317" s="30"/>
      <c r="AX317" s="30"/>
      <c r="AY317" s="30"/>
      <c r="AZ317" s="30"/>
      <c r="BA317" s="30"/>
      <c r="BB317" s="30"/>
    </row>
    <row r="318" spans="1:54" x14ac:dyDescent="0.2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  <c r="AP318" s="30"/>
      <c r="AQ318" s="30"/>
      <c r="AR318" s="30"/>
      <c r="AS318" s="30"/>
      <c r="AT318" s="30"/>
      <c r="AU318" s="30"/>
      <c r="AV318" s="30"/>
      <c r="AW318" s="30"/>
      <c r="AX318" s="30"/>
      <c r="AY318" s="30"/>
      <c r="AZ318" s="30"/>
      <c r="BA318" s="30"/>
      <c r="BB318" s="30"/>
    </row>
    <row r="319" spans="1:54" x14ac:dyDescent="0.2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  <c r="AO319" s="30"/>
      <c r="AP319" s="30"/>
      <c r="AQ319" s="30"/>
      <c r="AR319" s="30"/>
      <c r="AS319" s="30"/>
      <c r="AT319" s="30"/>
      <c r="AU319" s="30"/>
      <c r="AV319" s="30"/>
      <c r="AW319" s="30"/>
      <c r="AX319" s="30"/>
      <c r="AY319" s="30"/>
      <c r="AZ319" s="30"/>
      <c r="BA319" s="30"/>
      <c r="BB319" s="30"/>
    </row>
    <row r="320" spans="1:54" x14ac:dyDescent="0.2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  <c r="AP320" s="30"/>
      <c r="AQ320" s="30"/>
      <c r="AR320" s="30"/>
      <c r="AS320" s="30"/>
      <c r="AT320" s="30"/>
      <c r="AU320" s="30"/>
      <c r="AV320" s="30"/>
      <c r="AW320" s="30"/>
      <c r="AX320" s="30"/>
      <c r="AY320" s="30"/>
      <c r="AZ320" s="30"/>
      <c r="BA320" s="30"/>
      <c r="BB320" s="30"/>
    </row>
    <row r="321" spans="1:54" x14ac:dyDescent="0.2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  <c r="AP321" s="30"/>
      <c r="AQ321" s="30"/>
      <c r="AR321" s="30"/>
      <c r="AS321" s="30"/>
      <c r="AT321" s="30"/>
      <c r="AU321" s="30"/>
      <c r="AV321" s="30"/>
      <c r="AW321" s="30"/>
      <c r="AX321" s="30"/>
      <c r="AY321" s="30"/>
      <c r="AZ321" s="30"/>
      <c r="BA321" s="30"/>
      <c r="BB321" s="30"/>
    </row>
    <row r="322" spans="1:54" x14ac:dyDescent="0.2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  <c r="AO322" s="30"/>
      <c r="AP322" s="30"/>
      <c r="AQ322" s="30"/>
      <c r="AR322" s="30"/>
      <c r="AS322" s="30"/>
      <c r="AT322" s="30"/>
      <c r="AU322" s="30"/>
      <c r="AV322" s="30"/>
      <c r="AW322" s="30"/>
      <c r="AX322" s="30"/>
      <c r="AY322" s="30"/>
      <c r="AZ322" s="30"/>
      <c r="BA322" s="30"/>
      <c r="BB322" s="30"/>
    </row>
    <row r="323" spans="1:54" x14ac:dyDescent="0.2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  <c r="AP323" s="30"/>
      <c r="AQ323" s="30"/>
      <c r="AR323" s="30"/>
      <c r="AS323" s="30"/>
      <c r="AT323" s="30"/>
      <c r="AU323" s="30"/>
      <c r="AV323" s="30"/>
      <c r="AW323" s="30"/>
      <c r="AX323" s="30"/>
      <c r="AY323" s="30"/>
      <c r="AZ323" s="30"/>
      <c r="BA323" s="30"/>
      <c r="BB323" s="30"/>
    </row>
    <row r="324" spans="1:54" x14ac:dyDescent="0.2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  <c r="AP324" s="30"/>
      <c r="AQ324" s="30"/>
      <c r="AR324" s="30"/>
      <c r="AS324" s="30"/>
      <c r="AT324" s="30"/>
      <c r="AU324" s="30"/>
      <c r="AV324" s="30"/>
      <c r="AW324" s="30"/>
      <c r="AX324" s="30"/>
      <c r="AY324" s="30"/>
      <c r="AZ324" s="30"/>
      <c r="BA324" s="30"/>
      <c r="BB324" s="30"/>
    </row>
    <row r="325" spans="1:54" x14ac:dyDescent="0.2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  <c r="AO325" s="30"/>
      <c r="AP325" s="30"/>
      <c r="AQ325" s="30"/>
      <c r="AR325" s="30"/>
      <c r="AS325" s="30"/>
      <c r="AT325" s="30"/>
      <c r="AU325" s="30"/>
      <c r="AV325" s="30"/>
      <c r="AW325" s="30"/>
      <c r="AX325" s="30"/>
      <c r="AY325" s="30"/>
      <c r="AZ325" s="30"/>
      <c r="BA325" s="30"/>
      <c r="BB325" s="30"/>
    </row>
    <row r="326" spans="1:54" x14ac:dyDescent="0.2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  <c r="AP326" s="30"/>
      <c r="AQ326" s="30"/>
      <c r="AR326" s="30"/>
      <c r="AS326" s="30"/>
      <c r="AT326" s="30"/>
      <c r="AU326" s="30"/>
      <c r="AV326" s="30"/>
      <c r="AW326" s="30"/>
      <c r="AX326" s="30"/>
      <c r="AY326" s="30"/>
      <c r="AZ326" s="30"/>
      <c r="BA326" s="30"/>
      <c r="BB326" s="30"/>
    </row>
    <row r="327" spans="1:54" x14ac:dyDescent="0.2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  <c r="AP327" s="30"/>
      <c r="AQ327" s="30"/>
      <c r="AR327" s="30"/>
      <c r="AS327" s="30"/>
      <c r="AT327" s="30"/>
      <c r="AU327" s="30"/>
      <c r="AV327" s="30"/>
      <c r="AW327" s="30"/>
      <c r="AX327" s="30"/>
      <c r="AY327" s="30"/>
      <c r="AZ327" s="30"/>
      <c r="BA327" s="30"/>
      <c r="BB327" s="30"/>
    </row>
    <row r="328" spans="1:54" x14ac:dyDescent="0.2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  <c r="AP328" s="30"/>
      <c r="AQ328" s="30"/>
      <c r="AR328" s="30"/>
      <c r="AS328" s="30"/>
      <c r="AT328" s="30"/>
      <c r="AU328" s="30"/>
      <c r="AV328" s="30"/>
      <c r="AW328" s="30"/>
      <c r="AX328" s="30"/>
      <c r="AY328" s="30"/>
      <c r="AZ328" s="30"/>
      <c r="BA328" s="30"/>
      <c r="BB328" s="30"/>
    </row>
    <row r="329" spans="1:54" x14ac:dyDescent="0.2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  <c r="AP329" s="30"/>
      <c r="AQ329" s="30"/>
      <c r="AR329" s="30"/>
      <c r="AS329" s="30"/>
      <c r="AT329" s="30"/>
      <c r="AU329" s="30"/>
      <c r="AV329" s="30"/>
      <c r="AW329" s="30"/>
      <c r="AX329" s="30"/>
      <c r="AY329" s="30"/>
      <c r="AZ329" s="30"/>
      <c r="BA329" s="30"/>
      <c r="BB329" s="30"/>
    </row>
    <row r="330" spans="1:54" x14ac:dyDescent="0.2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  <c r="AP330" s="30"/>
      <c r="AQ330" s="30"/>
      <c r="AR330" s="30"/>
      <c r="AS330" s="30"/>
      <c r="AT330" s="30"/>
      <c r="AU330" s="30"/>
      <c r="AV330" s="30"/>
      <c r="AW330" s="30"/>
      <c r="AX330" s="30"/>
      <c r="AY330" s="30"/>
      <c r="AZ330" s="30"/>
      <c r="BA330" s="30"/>
      <c r="BB330" s="30"/>
    </row>
    <row r="331" spans="1:54" x14ac:dyDescent="0.2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  <c r="AO331" s="30"/>
      <c r="AP331" s="30"/>
      <c r="AQ331" s="30"/>
      <c r="AR331" s="30"/>
      <c r="AS331" s="30"/>
      <c r="AT331" s="30"/>
      <c r="AU331" s="30"/>
      <c r="AV331" s="30"/>
      <c r="AW331" s="30"/>
      <c r="AX331" s="30"/>
      <c r="AY331" s="30"/>
      <c r="AZ331" s="30"/>
      <c r="BA331" s="30"/>
      <c r="BB331" s="30"/>
    </row>
    <row r="332" spans="1:54" x14ac:dyDescent="0.2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  <c r="AP332" s="30"/>
      <c r="AQ332" s="30"/>
      <c r="AR332" s="30"/>
      <c r="AS332" s="30"/>
      <c r="AT332" s="30"/>
      <c r="AU332" s="30"/>
      <c r="AV332" s="30"/>
      <c r="AW332" s="30"/>
      <c r="AX332" s="30"/>
      <c r="AY332" s="30"/>
      <c r="AZ332" s="30"/>
      <c r="BA332" s="30"/>
      <c r="BB332" s="30"/>
    </row>
    <row r="333" spans="1:54" x14ac:dyDescent="0.2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  <c r="AP333" s="30"/>
      <c r="AQ333" s="30"/>
      <c r="AR333" s="30"/>
      <c r="AS333" s="30"/>
      <c r="AT333" s="30"/>
      <c r="AU333" s="30"/>
      <c r="AV333" s="30"/>
      <c r="AW333" s="30"/>
      <c r="AX333" s="30"/>
      <c r="AY333" s="30"/>
      <c r="AZ333" s="30"/>
      <c r="BA333" s="30"/>
      <c r="BB333" s="30"/>
    </row>
    <row r="334" spans="1:54" x14ac:dyDescent="0.2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  <c r="AP334" s="30"/>
      <c r="AQ334" s="30"/>
      <c r="AR334" s="30"/>
      <c r="AS334" s="30"/>
      <c r="AT334" s="30"/>
      <c r="AU334" s="30"/>
      <c r="AV334" s="30"/>
      <c r="AW334" s="30"/>
      <c r="AX334" s="30"/>
      <c r="AY334" s="30"/>
      <c r="AZ334" s="30"/>
      <c r="BA334" s="30"/>
      <c r="BB334" s="30"/>
    </row>
    <row r="335" spans="1:54" x14ac:dyDescent="0.2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  <c r="AP335" s="30"/>
      <c r="AQ335" s="30"/>
      <c r="AR335" s="30"/>
      <c r="AS335" s="30"/>
      <c r="AT335" s="30"/>
      <c r="AU335" s="30"/>
      <c r="AV335" s="30"/>
      <c r="AW335" s="30"/>
      <c r="AX335" s="30"/>
      <c r="AY335" s="30"/>
      <c r="AZ335" s="30"/>
      <c r="BA335" s="30"/>
      <c r="BB335" s="30"/>
    </row>
    <row r="336" spans="1:54" x14ac:dyDescent="0.2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  <c r="AP336" s="30"/>
      <c r="AQ336" s="30"/>
      <c r="AR336" s="30"/>
      <c r="AS336" s="30"/>
      <c r="AT336" s="30"/>
      <c r="AU336" s="30"/>
      <c r="AV336" s="30"/>
      <c r="AW336" s="30"/>
      <c r="AX336" s="30"/>
      <c r="AY336" s="30"/>
      <c r="AZ336" s="30"/>
      <c r="BA336" s="30"/>
      <c r="BB336" s="30"/>
    </row>
    <row r="337" spans="1:54" x14ac:dyDescent="0.2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  <c r="AO337" s="30"/>
      <c r="AP337" s="30"/>
      <c r="AQ337" s="30"/>
      <c r="AR337" s="30"/>
      <c r="AS337" s="30"/>
      <c r="AT337" s="30"/>
      <c r="AU337" s="30"/>
      <c r="AV337" s="30"/>
      <c r="AW337" s="30"/>
      <c r="AX337" s="30"/>
      <c r="AY337" s="30"/>
      <c r="AZ337" s="30"/>
      <c r="BA337" s="30"/>
      <c r="BB337" s="30"/>
    </row>
    <row r="338" spans="1:54" x14ac:dyDescent="0.2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  <c r="AP338" s="30"/>
      <c r="AQ338" s="30"/>
      <c r="AR338" s="30"/>
      <c r="AS338" s="30"/>
      <c r="AT338" s="30"/>
      <c r="AU338" s="30"/>
      <c r="AV338" s="30"/>
      <c r="AW338" s="30"/>
      <c r="AX338" s="30"/>
      <c r="AY338" s="30"/>
      <c r="AZ338" s="30"/>
      <c r="BA338" s="30"/>
      <c r="BB338" s="30"/>
    </row>
    <row r="339" spans="1:54" x14ac:dyDescent="0.2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  <c r="AP339" s="30"/>
      <c r="AQ339" s="30"/>
      <c r="AR339" s="30"/>
      <c r="AS339" s="30"/>
      <c r="AT339" s="30"/>
      <c r="AU339" s="30"/>
      <c r="AV339" s="30"/>
      <c r="AW339" s="30"/>
      <c r="AX339" s="30"/>
      <c r="AY339" s="30"/>
      <c r="AZ339" s="30"/>
      <c r="BA339" s="30"/>
      <c r="BB339" s="30"/>
    </row>
    <row r="340" spans="1:54" x14ac:dyDescent="0.2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  <c r="AP340" s="30"/>
      <c r="AQ340" s="30"/>
      <c r="AR340" s="30"/>
      <c r="AS340" s="30"/>
      <c r="AT340" s="30"/>
      <c r="AU340" s="30"/>
      <c r="AV340" s="30"/>
      <c r="AW340" s="30"/>
      <c r="AX340" s="30"/>
      <c r="AY340" s="30"/>
      <c r="AZ340" s="30"/>
      <c r="BA340" s="30"/>
      <c r="BB340" s="30"/>
    </row>
    <row r="341" spans="1:54" x14ac:dyDescent="0.2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  <c r="AP341" s="30"/>
      <c r="AQ341" s="30"/>
      <c r="AR341" s="30"/>
      <c r="AS341" s="30"/>
      <c r="AT341" s="30"/>
      <c r="AU341" s="30"/>
      <c r="AV341" s="30"/>
      <c r="AW341" s="30"/>
      <c r="AX341" s="30"/>
      <c r="AY341" s="30"/>
      <c r="AZ341" s="30"/>
      <c r="BA341" s="30"/>
      <c r="BB341" s="30"/>
    </row>
    <row r="342" spans="1:54" x14ac:dyDescent="0.2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  <c r="AP342" s="30"/>
      <c r="AQ342" s="30"/>
      <c r="AR342" s="30"/>
      <c r="AS342" s="30"/>
      <c r="AT342" s="30"/>
      <c r="AU342" s="30"/>
      <c r="AV342" s="30"/>
      <c r="AW342" s="30"/>
      <c r="AX342" s="30"/>
      <c r="AY342" s="30"/>
      <c r="AZ342" s="30"/>
      <c r="BA342" s="30"/>
      <c r="BB342" s="30"/>
    </row>
    <row r="343" spans="1:54" x14ac:dyDescent="0.2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  <c r="AO343" s="30"/>
      <c r="AP343" s="30"/>
      <c r="AQ343" s="30"/>
      <c r="AR343" s="30"/>
      <c r="AS343" s="30"/>
      <c r="AT343" s="30"/>
      <c r="AU343" s="30"/>
      <c r="AV343" s="30"/>
      <c r="AW343" s="30"/>
      <c r="AX343" s="30"/>
      <c r="AY343" s="30"/>
      <c r="AZ343" s="30"/>
      <c r="BA343" s="30"/>
      <c r="BB343" s="30"/>
    </row>
    <row r="344" spans="1:54" x14ac:dyDescent="0.2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  <c r="AP344" s="30"/>
      <c r="AQ344" s="30"/>
      <c r="AR344" s="30"/>
      <c r="AS344" s="30"/>
      <c r="AT344" s="30"/>
      <c r="AU344" s="30"/>
      <c r="AV344" s="30"/>
      <c r="AW344" s="30"/>
      <c r="AX344" s="30"/>
      <c r="AY344" s="30"/>
      <c r="AZ344" s="30"/>
      <c r="BA344" s="30"/>
      <c r="BB344" s="30"/>
    </row>
    <row r="345" spans="1:54" x14ac:dyDescent="0.2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  <c r="AP345" s="30"/>
      <c r="AQ345" s="30"/>
      <c r="AR345" s="30"/>
      <c r="AS345" s="30"/>
      <c r="AT345" s="30"/>
      <c r="AU345" s="30"/>
      <c r="AV345" s="30"/>
      <c r="AW345" s="30"/>
      <c r="AX345" s="30"/>
      <c r="AY345" s="30"/>
      <c r="AZ345" s="30"/>
      <c r="BA345" s="30"/>
      <c r="BB345" s="30"/>
    </row>
    <row r="346" spans="1:54" x14ac:dyDescent="0.2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  <c r="AO346" s="30"/>
      <c r="AP346" s="30"/>
      <c r="AQ346" s="30"/>
      <c r="AR346" s="30"/>
      <c r="AS346" s="30"/>
      <c r="AT346" s="30"/>
      <c r="AU346" s="30"/>
      <c r="AV346" s="30"/>
      <c r="AW346" s="30"/>
      <c r="AX346" s="30"/>
      <c r="AY346" s="30"/>
      <c r="AZ346" s="30"/>
      <c r="BA346" s="30"/>
      <c r="BB346" s="30"/>
    </row>
    <row r="347" spans="1:54" x14ac:dyDescent="0.2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  <c r="AP347" s="30"/>
      <c r="AQ347" s="30"/>
      <c r="AR347" s="30"/>
      <c r="AS347" s="30"/>
      <c r="AT347" s="30"/>
      <c r="AU347" s="30"/>
      <c r="AV347" s="30"/>
      <c r="AW347" s="30"/>
      <c r="AX347" s="30"/>
      <c r="AY347" s="30"/>
      <c r="AZ347" s="30"/>
      <c r="BA347" s="30"/>
      <c r="BB347" s="30"/>
    </row>
    <row r="348" spans="1:54" x14ac:dyDescent="0.2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  <c r="AP348" s="30"/>
      <c r="AQ348" s="30"/>
      <c r="AR348" s="30"/>
      <c r="AS348" s="30"/>
      <c r="AT348" s="30"/>
      <c r="AU348" s="30"/>
      <c r="AV348" s="30"/>
      <c r="AW348" s="30"/>
      <c r="AX348" s="30"/>
      <c r="AY348" s="30"/>
      <c r="AZ348" s="30"/>
      <c r="BA348" s="30"/>
      <c r="BB348" s="30"/>
    </row>
    <row r="349" spans="1:54" x14ac:dyDescent="0.2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  <c r="AO349" s="30"/>
      <c r="AP349" s="30"/>
      <c r="AQ349" s="30"/>
      <c r="AR349" s="30"/>
      <c r="AS349" s="30"/>
      <c r="AT349" s="30"/>
      <c r="AU349" s="30"/>
      <c r="AV349" s="30"/>
      <c r="AW349" s="30"/>
      <c r="AX349" s="30"/>
      <c r="AY349" s="30"/>
      <c r="AZ349" s="30"/>
      <c r="BA349" s="30"/>
      <c r="BB349" s="30"/>
    </row>
    <row r="350" spans="1:54" x14ac:dyDescent="0.2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  <c r="AP350" s="30"/>
      <c r="AQ350" s="30"/>
      <c r="AR350" s="30"/>
      <c r="AS350" s="30"/>
      <c r="AT350" s="30"/>
      <c r="AU350" s="30"/>
      <c r="AV350" s="30"/>
      <c r="AW350" s="30"/>
      <c r="AX350" s="30"/>
      <c r="AY350" s="30"/>
      <c r="AZ350" s="30"/>
      <c r="BA350" s="30"/>
      <c r="BB350" s="30"/>
    </row>
    <row r="351" spans="1:54" x14ac:dyDescent="0.2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  <c r="AP351" s="30"/>
      <c r="AQ351" s="30"/>
      <c r="AR351" s="30"/>
      <c r="AS351" s="30"/>
      <c r="AT351" s="30"/>
      <c r="AU351" s="30"/>
      <c r="AV351" s="30"/>
      <c r="AW351" s="30"/>
      <c r="AX351" s="30"/>
      <c r="AY351" s="30"/>
      <c r="AZ351" s="30"/>
      <c r="BA351" s="30"/>
      <c r="BB351" s="30"/>
    </row>
    <row r="352" spans="1:54" x14ac:dyDescent="0.2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  <c r="AO352" s="30"/>
      <c r="AP352" s="30"/>
      <c r="AQ352" s="30"/>
      <c r="AR352" s="30"/>
      <c r="AS352" s="30"/>
      <c r="AT352" s="30"/>
      <c r="AU352" s="30"/>
      <c r="AV352" s="30"/>
      <c r="AW352" s="30"/>
      <c r="AX352" s="30"/>
      <c r="AY352" s="30"/>
      <c r="AZ352" s="30"/>
      <c r="BA352" s="30"/>
      <c r="BB352" s="30"/>
    </row>
    <row r="353" spans="1:54" x14ac:dyDescent="0.2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  <c r="AP353" s="30"/>
      <c r="AQ353" s="30"/>
      <c r="AR353" s="30"/>
      <c r="AS353" s="30"/>
      <c r="AT353" s="30"/>
      <c r="AU353" s="30"/>
      <c r="AV353" s="30"/>
      <c r="AW353" s="30"/>
      <c r="AX353" s="30"/>
      <c r="AY353" s="30"/>
      <c r="AZ353" s="30"/>
      <c r="BA353" s="30"/>
      <c r="BB353" s="30"/>
    </row>
    <row r="354" spans="1:54" x14ac:dyDescent="0.2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  <c r="AP354" s="30"/>
      <c r="AQ354" s="30"/>
      <c r="AR354" s="30"/>
      <c r="AS354" s="30"/>
      <c r="AT354" s="30"/>
      <c r="AU354" s="30"/>
      <c r="AV354" s="30"/>
      <c r="AW354" s="30"/>
      <c r="AX354" s="30"/>
      <c r="AY354" s="30"/>
      <c r="AZ354" s="30"/>
      <c r="BA354" s="30"/>
      <c r="BB354" s="30"/>
    </row>
    <row r="355" spans="1:54" x14ac:dyDescent="0.2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  <c r="AP355" s="30"/>
      <c r="AQ355" s="30"/>
      <c r="AR355" s="30"/>
      <c r="AS355" s="30"/>
      <c r="AT355" s="30"/>
      <c r="AU355" s="30"/>
      <c r="AV355" s="30"/>
      <c r="AW355" s="30"/>
      <c r="AX355" s="30"/>
      <c r="AY355" s="30"/>
      <c r="AZ355" s="30"/>
      <c r="BA355" s="30"/>
      <c r="BB355" s="30"/>
    </row>
    <row r="356" spans="1:54" x14ac:dyDescent="0.2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  <c r="AP356" s="30"/>
      <c r="AQ356" s="30"/>
      <c r="AR356" s="30"/>
      <c r="AS356" s="30"/>
      <c r="AT356" s="30"/>
      <c r="AU356" s="30"/>
      <c r="AV356" s="30"/>
      <c r="AW356" s="30"/>
      <c r="AX356" s="30"/>
      <c r="AY356" s="30"/>
      <c r="AZ356" s="30"/>
      <c r="BA356" s="30"/>
      <c r="BB356" s="30"/>
    </row>
    <row r="357" spans="1:54" x14ac:dyDescent="0.2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  <c r="AP357" s="30"/>
      <c r="AQ357" s="30"/>
      <c r="AR357" s="30"/>
      <c r="AS357" s="30"/>
      <c r="AT357" s="30"/>
      <c r="AU357" s="30"/>
      <c r="AV357" s="30"/>
      <c r="AW357" s="30"/>
      <c r="AX357" s="30"/>
      <c r="AY357" s="30"/>
      <c r="AZ357" s="30"/>
      <c r="BA357" s="30"/>
      <c r="BB357" s="30"/>
    </row>
    <row r="358" spans="1:54" x14ac:dyDescent="0.2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  <c r="AO358" s="30"/>
      <c r="AP358" s="30"/>
      <c r="AQ358" s="30"/>
      <c r="AR358" s="30"/>
      <c r="AS358" s="30"/>
      <c r="AT358" s="30"/>
      <c r="AU358" s="30"/>
      <c r="AV358" s="30"/>
      <c r="AW358" s="30"/>
      <c r="AX358" s="30"/>
      <c r="AY358" s="30"/>
      <c r="AZ358" s="30"/>
      <c r="BA358" s="30"/>
      <c r="BB358" s="30"/>
    </row>
    <row r="359" spans="1:54" x14ac:dyDescent="0.2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  <c r="AP359" s="30"/>
      <c r="AQ359" s="30"/>
      <c r="AR359" s="30"/>
      <c r="AS359" s="30"/>
      <c r="AT359" s="30"/>
      <c r="AU359" s="30"/>
      <c r="AV359" s="30"/>
      <c r="AW359" s="30"/>
      <c r="AX359" s="30"/>
      <c r="AY359" s="30"/>
      <c r="AZ359" s="30"/>
      <c r="BA359" s="30"/>
      <c r="BB359" s="30"/>
    </row>
    <row r="360" spans="1:54" x14ac:dyDescent="0.2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  <c r="AP360" s="30"/>
      <c r="AQ360" s="30"/>
      <c r="AR360" s="30"/>
      <c r="AS360" s="30"/>
      <c r="AT360" s="30"/>
      <c r="AU360" s="30"/>
      <c r="AV360" s="30"/>
      <c r="AW360" s="30"/>
      <c r="AX360" s="30"/>
      <c r="AY360" s="30"/>
      <c r="AZ360" s="30"/>
      <c r="BA360" s="30"/>
      <c r="BB360" s="30"/>
    </row>
    <row r="361" spans="1:54" x14ac:dyDescent="0.2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  <c r="AP361" s="30"/>
      <c r="AQ361" s="30"/>
      <c r="AR361" s="30"/>
      <c r="AS361" s="30"/>
      <c r="AT361" s="30"/>
      <c r="AU361" s="30"/>
      <c r="AV361" s="30"/>
      <c r="AW361" s="30"/>
      <c r="AX361" s="30"/>
      <c r="AY361" s="30"/>
      <c r="AZ361" s="30"/>
      <c r="BA361" s="30"/>
      <c r="BB361" s="30"/>
    </row>
    <row r="362" spans="1:54" x14ac:dyDescent="0.2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  <c r="AP362" s="30"/>
      <c r="AQ362" s="30"/>
      <c r="AR362" s="30"/>
      <c r="AS362" s="30"/>
      <c r="AT362" s="30"/>
      <c r="AU362" s="30"/>
      <c r="AV362" s="30"/>
      <c r="AW362" s="30"/>
      <c r="AX362" s="30"/>
      <c r="AY362" s="30"/>
      <c r="AZ362" s="30"/>
      <c r="BA362" s="30"/>
      <c r="BB362" s="30"/>
    </row>
    <row r="363" spans="1:54" x14ac:dyDescent="0.2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  <c r="AP363" s="30"/>
      <c r="AQ363" s="30"/>
      <c r="AR363" s="30"/>
      <c r="AS363" s="30"/>
      <c r="AT363" s="30"/>
      <c r="AU363" s="30"/>
      <c r="AV363" s="30"/>
      <c r="AW363" s="30"/>
      <c r="AX363" s="30"/>
      <c r="AY363" s="30"/>
      <c r="AZ363" s="30"/>
      <c r="BA363" s="30"/>
      <c r="BB363" s="30"/>
    </row>
    <row r="364" spans="1:54" x14ac:dyDescent="0.2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  <c r="AO364" s="30"/>
      <c r="AP364" s="30"/>
      <c r="AQ364" s="30"/>
      <c r="AR364" s="30"/>
      <c r="AS364" s="30"/>
      <c r="AT364" s="30"/>
      <c r="AU364" s="30"/>
      <c r="AV364" s="30"/>
      <c r="AW364" s="30"/>
      <c r="AX364" s="30"/>
      <c r="AY364" s="30"/>
      <c r="AZ364" s="30"/>
      <c r="BA364" s="30"/>
      <c r="BB364" s="30"/>
    </row>
    <row r="365" spans="1:54" x14ac:dyDescent="0.2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  <c r="AP365" s="30"/>
      <c r="AQ365" s="30"/>
      <c r="AR365" s="30"/>
      <c r="AS365" s="30"/>
      <c r="AT365" s="30"/>
      <c r="AU365" s="30"/>
      <c r="AV365" s="30"/>
      <c r="AW365" s="30"/>
      <c r="AX365" s="30"/>
      <c r="AY365" s="30"/>
      <c r="AZ365" s="30"/>
      <c r="BA365" s="30"/>
      <c r="BB365" s="30"/>
    </row>
    <row r="366" spans="1:54" x14ac:dyDescent="0.2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  <c r="AP366" s="30"/>
      <c r="AQ366" s="30"/>
      <c r="AR366" s="30"/>
      <c r="AS366" s="30"/>
      <c r="AT366" s="30"/>
      <c r="AU366" s="30"/>
      <c r="AV366" s="30"/>
      <c r="AW366" s="30"/>
      <c r="AX366" s="30"/>
      <c r="AY366" s="30"/>
      <c r="AZ366" s="30"/>
      <c r="BA366" s="30"/>
      <c r="BB366" s="30"/>
    </row>
    <row r="367" spans="1:54" x14ac:dyDescent="0.2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  <c r="AO367" s="30"/>
      <c r="AP367" s="30"/>
      <c r="AQ367" s="30"/>
      <c r="AR367" s="30"/>
      <c r="AS367" s="30"/>
      <c r="AT367" s="30"/>
      <c r="AU367" s="30"/>
      <c r="AV367" s="30"/>
      <c r="AW367" s="30"/>
      <c r="AX367" s="30"/>
      <c r="AY367" s="30"/>
      <c r="AZ367" s="30"/>
      <c r="BA367" s="30"/>
      <c r="BB367" s="30"/>
    </row>
    <row r="368" spans="1:54" x14ac:dyDescent="0.2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  <c r="AP368" s="30"/>
      <c r="AQ368" s="30"/>
      <c r="AR368" s="30"/>
      <c r="AS368" s="30"/>
      <c r="AT368" s="30"/>
      <c r="AU368" s="30"/>
      <c r="AV368" s="30"/>
      <c r="AW368" s="30"/>
      <c r="AX368" s="30"/>
      <c r="AY368" s="30"/>
      <c r="AZ368" s="30"/>
      <c r="BA368" s="30"/>
      <c r="BB368" s="30"/>
    </row>
    <row r="369" spans="1:54" x14ac:dyDescent="0.2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  <c r="AP369" s="30"/>
      <c r="AQ369" s="30"/>
      <c r="AR369" s="30"/>
      <c r="AS369" s="30"/>
      <c r="AT369" s="30"/>
      <c r="AU369" s="30"/>
      <c r="AV369" s="30"/>
      <c r="AW369" s="30"/>
      <c r="AX369" s="30"/>
      <c r="AY369" s="30"/>
      <c r="AZ369" s="30"/>
      <c r="BA369" s="30"/>
      <c r="BB369" s="30"/>
    </row>
    <row r="370" spans="1:54" x14ac:dyDescent="0.2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30"/>
      <c r="AO370" s="30"/>
      <c r="AP370" s="30"/>
      <c r="AQ370" s="30"/>
      <c r="AR370" s="30"/>
      <c r="AS370" s="30"/>
      <c r="AT370" s="30"/>
      <c r="AU370" s="30"/>
      <c r="AV370" s="30"/>
      <c r="AW370" s="30"/>
      <c r="AX370" s="30"/>
      <c r="AY370" s="30"/>
      <c r="AZ370" s="30"/>
      <c r="BA370" s="30"/>
      <c r="BB370" s="30"/>
    </row>
    <row r="371" spans="1:54" x14ac:dyDescent="0.2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  <c r="AP371" s="30"/>
      <c r="AQ371" s="30"/>
      <c r="AR371" s="30"/>
      <c r="AS371" s="30"/>
      <c r="AT371" s="30"/>
      <c r="AU371" s="30"/>
      <c r="AV371" s="30"/>
      <c r="AW371" s="30"/>
      <c r="AX371" s="30"/>
      <c r="AY371" s="30"/>
      <c r="AZ371" s="30"/>
      <c r="BA371" s="30"/>
      <c r="BB371" s="30"/>
    </row>
    <row r="372" spans="1:54" x14ac:dyDescent="0.2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  <c r="AP372" s="30"/>
      <c r="AQ372" s="30"/>
      <c r="AR372" s="30"/>
      <c r="AS372" s="30"/>
      <c r="AT372" s="30"/>
      <c r="AU372" s="30"/>
      <c r="AV372" s="30"/>
      <c r="AW372" s="30"/>
      <c r="AX372" s="30"/>
      <c r="AY372" s="30"/>
      <c r="AZ372" s="30"/>
      <c r="BA372" s="30"/>
      <c r="BB372" s="30"/>
    </row>
    <row r="373" spans="1:54" x14ac:dyDescent="0.2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30"/>
      <c r="AO373" s="30"/>
      <c r="AP373" s="30"/>
      <c r="AQ373" s="30"/>
      <c r="AR373" s="30"/>
      <c r="AS373" s="30"/>
      <c r="AT373" s="30"/>
      <c r="AU373" s="30"/>
      <c r="AV373" s="30"/>
      <c r="AW373" s="30"/>
      <c r="AX373" s="30"/>
      <c r="AY373" s="30"/>
      <c r="AZ373" s="30"/>
      <c r="BA373" s="30"/>
      <c r="BB373" s="30"/>
    </row>
    <row r="374" spans="1:54" x14ac:dyDescent="0.2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  <c r="AP374" s="30"/>
      <c r="AQ374" s="30"/>
      <c r="AR374" s="30"/>
      <c r="AS374" s="30"/>
      <c r="AT374" s="30"/>
      <c r="AU374" s="30"/>
      <c r="AV374" s="30"/>
      <c r="AW374" s="30"/>
      <c r="AX374" s="30"/>
      <c r="AY374" s="30"/>
      <c r="AZ374" s="30"/>
      <c r="BA374" s="30"/>
      <c r="BB374" s="30"/>
    </row>
    <row r="375" spans="1:54" x14ac:dyDescent="0.2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  <c r="AP375" s="30"/>
      <c r="AQ375" s="30"/>
      <c r="AR375" s="30"/>
      <c r="AS375" s="30"/>
      <c r="AT375" s="30"/>
      <c r="AU375" s="30"/>
      <c r="AV375" s="30"/>
      <c r="AW375" s="30"/>
      <c r="AX375" s="30"/>
      <c r="AY375" s="30"/>
      <c r="AZ375" s="30"/>
      <c r="BA375" s="30"/>
      <c r="BB375" s="30"/>
    </row>
    <row r="376" spans="1:54" x14ac:dyDescent="0.2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  <c r="AP376" s="30"/>
      <c r="AQ376" s="30"/>
      <c r="AR376" s="30"/>
      <c r="AS376" s="30"/>
      <c r="AT376" s="30"/>
      <c r="AU376" s="30"/>
      <c r="AV376" s="30"/>
      <c r="AW376" s="30"/>
      <c r="AX376" s="30"/>
      <c r="AY376" s="30"/>
      <c r="AZ376" s="30"/>
      <c r="BA376" s="30"/>
      <c r="BB376" s="30"/>
    </row>
    <row r="377" spans="1:54" x14ac:dyDescent="0.2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  <c r="AP377" s="30"/>
      <c r="AQ377" s="30"/>
      <c r="AR377" s="30"/>
      <c r="AS377" s="30"/>
      <c r="AT377" s="30"/>
      <c r="AU377" s="30"/>
      <c r="AV377" s="30"/>
      <c r="AW377" s="30"/>
      <c r="AX377" s="30"/>
      <c r="AY377" s="30"/>
      <c r="AZ377" s="30"/>
      <c r="BA377" s="30"/>
      <c r="BB377" s="30"/>
    </row>
    <row r="378" spans="1:54" x14ac:dyDescent="0.2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  <c r="AP378" s="30"/>
      <c r="AQ378" s="30"/>
      <c r="AR378" s="30"/>
      <c r="AS378" s="30"/>
      <c r="AT378" s="30"/>
      <c r="AU378" s="30"/>
      <c r="AV378" s="30"/>
      <c r="AW378" s="30"/>
      <c r="AX378" s="30"/>
      <c r="AY378" s="30"/>
      <c r="AZ378" s="30"/>
      <c r="BA378" s="30"/>
      <c r="BB378" s="30"/>
    </row>
    <row r="379" spans="1:54" x14ac:dyDescent="0.2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  <c r="AP379" s="30"/>
      <c r="AQ379" s="30"/>
      <c r="AR379" s="30"/>
      <c r="AS379" s="30"/>
      <c r="AT379" s="30"/>
      <c r="AU379" s="30"/>
      <c r="AV379" s="30"/>
      <c r="AW379" s="30"/>
      <c r="AX379" s="30"/>
      <c r="AY379" s="30"/>
      <c r="AZ379" s="30"/>
      <c r="BA379" s="30"/>
      <c r="BB379" s="30"/>
    </row>
    <row r="380" spans="1:54" x14ac:dyDescent="0.2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  <c r="AP380" s="30"/>
      <c r="AQ380" s="30"/>
      <c r="AR380" s="30"/>
      <c r="AS380" s="30"/>
      <c r="AT380" s="30"/>
      <c r="AU380" s="30"/>
      <c r="AV380" s="30"/>
      <c r="AW380" s="30"/>
      <c r="AX380" s="30"/>
      <c r="AY380" s="30"/>
      <c r="AZ380" s="30"/>
      <c r="BA380" s="30"/>
      <c r="BB380" s="30"/>
    </row>
    <row r="381" spans="1:54" x14ac:dyDescent="0.2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  <c r="AP381" s="30"/>
      <c r="AQ381" s="30"/>
      <c r="AR381" s="30"/>
      <c r="AS381" s="30"/>
      <c r="AT381" s="30"/>
      <c r="AU381" s="30"/>
      <c r="AV381" s="30"/>
      <c r="AW381" s="30"/>
      <c r="AX381" s="30"/>
      <c r="AY381" s="30"/>
      <c r="AZ381" s="30"/>
      <c r="BA381" s="30"/>
      <c r="BB381" s="30"/>
    </row>
    <row r="382" spans="1:54" x14ac:dyDescent="0.2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  <c r="AP382" s="30"/>
      <c r="AQ382" s="30"/>
      <c r="AR382" s="30"/>
      <c r="AS382" s="30"/>
      <c r="AT382" s="30"/>
      <c r="AU382" s="30"/>
      <c r="AV382" s="30"/>
      <c r="AW382" s="30"/>
      <c r="AX382" s="30"/>
      <c r="AY382" s="30"/>
      <c r="AZ382" s="30"/>
      <c r="BA382" s="30"/>
      <c r="BB382" s="30"/>
    </row>
    <row r="383" spans="1:54" x14ac:dyDescent="0.2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  <c r="AP383" s="30"/>
      <c r="AQ383" s="30"/>
      <c r="AR383" s="30"/>
      <c r="AS383" s="30"/>
      <c r="AT383" s="30"/>
      <c r="AU383" s="30"/>
      <c r="AV383" s="30"/>
      <c r="AW383" s="30"/>
      <c r="AX383" s="30"/>
      <c r="AY383" s="30"/>
      <c r="AZ383" s="30"/>
      <c r="BA383" s="30"/>
      <c r="BB383" s="30"/>
    </row>
    <row r="384" spans="1:54" x14ac:dyDescent="0.2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  <c r="AP384" s="30"/>
      <c r="AQ384" s="30"/>
      <c r="AR384" s="30"/>
      <c r="AS384" s="30"/>
      <c r="AT384" s="30"/>
      <c r="AU384" s="30"/>
      <c r="AV384" s="30"/>
      <c r="AW384" s="30"/>
      <c r="AX384" s="30"/>
      <c r="AY384" s="30"/>
      <c r="AZ384" s="30"/>
      <c r="BA384" s="30"/>
      <c r="BB384" s="30"/>
    </row>
    <row r="385" spans="1:54" x14ac:dyDescent="0.2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30"/>
      <c r="AO385" s="30"/>
      <c r="AP385" s="30"/>
      <c r="AQ385" s="30"/>
      <c r="AR385" s="30"/>
      <c r="AS385" s="30"/>
      <c r="AT385" s="30"/>
      <c r="AU385" s="30"/>
      <c r="AV385" s="30"/>
      <c r="AW385" s="30"/>
      <c r="AX385" s="30"/>
      <c r="AY385" s="30"/>
      <c r="AZ385" s="30"/>
      <c r="BA385" s="30"/>
      <c r="BB385" s="30"/>
    </row>
    <row r="386" spans="1:54" x14ac:dyDescent="0.2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  <c r="AP386" s="30"/>
      <c r="AQ386" s="30"/>
      <c r="AR386" s="30"/>
      <c r="AS386" s="30"/>
      <c r="AT386" s="30"/>
      <c r="AU386" s="30"/>
      <c r="AV386" s="30"/>
      <c r="AW386" s="30"/>
      <c r="AX386" s="30"/>
      <c r="AY386" s="30"/>
      <c r="AZ386" s="30"/>
      <c r="BA386" s="30"/>
      <c r="BB386" s="30"/>
    </row>
    <row r="387" spans="1:54" x14ac:dyDescent="0.2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  <c r="AP387" s="30"/>
      <c r="AQ387" s="30"/>
      <c r="AR387" s="30"/>
      <c r="AS387" s="30"/>
      <c r="AT387" s="30"/>
      <c r="AU387" s="30"/>
      <c r="AV387" s="30"/>
      <c r="AW387" s="30"/>
      <c r="AX387" s="30"/>
      <c r="AY387" s="30"/>
      <c r="AZ387" s="30"/>
      <c r="BA387" s="30"/>
      <c r="BB387" s="30"/>
    </row>
    <row r="388" spans="1:54" x14ac:dyDescent="0.2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30"/>
      <c r="AO388" s="30"/>
      <c r="AP388" s="30"/>
      <c r="AQ388" s="30"/>
      <c r="AR388" s="30"/>
      <c r="AS388" s="30"/>
      <c r="AT388" s="30"/>
      <c r="AU388" s="30"/>
      <c r="AV388" s="30"/>
      <c r="AW388" s="30"/>
      <c r="AX388" s="30"/>
      <c r="AY388" s="30"/>
      <c r="AZ388" s="30"/>
      <c r="BA388" s="30"/>
      <c r="BB388" s="30"/>
    </row>
    <row r="389" spans="1:54" x14ac:dyDescent="0.2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  <c r="AP389" s="30"/>
      <c r="AQ389" s="30"/>
      <c r="AR389" s="30"/>
      <c r="AS389" s="30"/>
      <c r="AT389" s="30"/>
      <c r="AU389" s="30"/>
      <c r="AV389" s="30"/>
      <c r="AW389" s="30"/>
      <c r="AX389" s="30"/>
      <c r="AY389" s="30"/>
      <c r="AZ389" s="30"/>
      <c r="BA389" s="30"/>
      <c r="BB389" s="30"/>
    </row>
    <row r="390" spans="1:54" x14ac:dyDescent="0.2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  <c r="AP390" s="30"/>
      <c r="AQ390" s="30"/>
      <c r="AR390" s="30"/>
      <c r="AS390" s="30"/>
      <c r="AT390" s="30"/>
      <c r="AU390" s="30"/>
      <c r="AV390" s="30"/>
      <c r="AW390" s="30"/>
      <c r="AX390" s="30"/>
      <c r="AY390" s="30"/>
      <c r="AZ390" s="30"/>
      <c r="BA390" s="30"/>
      <c r="BB390" s="30"/>
    </row>
    <row r="391" spans="1:54" x14ac:dyDescent="0.2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30"/>
      <c r="AO391" s="30"/>
      <c r="AP391" s="30"/>
      <c r="AQ391" s="30"/>
      <c r="AR391" s="30"/>
      <c r="AS391" s="30"/>
      <c r="AT391" s="30"/>
      <c r="AU391" s="30"/>
      <c r="AV391" s="30"/>
      <c r="AW391" s="30"/>
      <c r="AX391" s="30"/>
      <c r="AY391" s="30"/>
      <c r="AZ391" s="30"/>
      <c r="BA391" s="30"/>
      <c r="BB391" s="30"/>
    </row>
    <row r="392" spans="1:54" x14ac:dyDescent="0.2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  <c r="AP392" s="30"/>
      <c r="AQ392" s="30"/>
      <c r="AR392" s="30"/>
      <c r="AS392" s="30"/>
      <c r="AT392" s="30"/>
      <c r="AU392" s="30"/>
      <c r="AV392" s="30"/>
      <c r="AW392" s="30"/>
      <c r="AX392" s="30"/>
      <c r="AY392" s="30"/>
      <c r="AZ392" s="30"/>
      <c r="BA392" s="30"/>
      <c r="BB392" s="30"/>
    </row>
    <row r="393" spans="1:54" x14ac:dyDescent="0.2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  <c r="AP393" s="30"/>
      <c r="AQ393" s="30"/>
      <c r="AR393" s="30"/>
      <c r="AS393" s="30"/>
      <c r="AT393" s="30"/>
      <c r="AU393" s="30"/>
      <c r="AV393" s="30"/>
      <c r="AW393" s="30"/>
      <c r="AX393" s="30"/>
      <c r="AY393" s="30"/>
      <c r="AZ393" s="30"/>
      <c r="BA393" s="30"/>
      <c r="BB393" s="30"/>
    </row>
    <row r="394" spans="1:54" x14ac:dyDescent="0.2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  <c r="AO394" s="30"/>
      <c r="AP394" s="30"/>
      <c r="AQ394" s="30"/>
      <c r="AR394" s="30"/>
      <c r="AS394" s="30"/>
      <c r="AT394" s="30"/>
      <c r="AU394" s="30"/>
      <c r="AV394" s="30"/>
      <c r="AW394" s="30"/>
      <c r="AX394" s="30"/>
      <c r="AY394" s="30"/>
      <c r="AZ394" s="30"/>
      <c r="BA394" s="30"/>
      <c r="BB394" s="30"/>
    </row>
    <row r="395" spans="1:54" x14ac:dyDescent="0.2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  <c r="AP395" s="30"/>
      <c r="AQ395" s="30"/>
      <c r="AR395" s="30"/>
      <c r="AS395" s="30"/>
      <c r="AT395" s="30"/>
      <c r="AU395" s="30"/>
      <c r="AV395" s="30"/>
      <c r="AW395" s="30"/>
      <c r="AX395" s="30"/>
      <c r="AY395" s="30"/>
      <c r="AZ395" s="30"/>
      <c r="BA395" s="30"/>
      <c r="BB395" s="30"/>
    </row>
    <row r="396" spans="1:54" x14ac:dyDescent="0.2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  <c r="AP396" s="30"/>
      <c r="AQ396" s="30"/>
      <c r="AR396" s="30"/>
      <c r="AS396" s="30"/>
      <c r="AT396" s="30"/>
      <c r="AU396" s="30"/>
      <c r="AV396" s="30"/>
      <c r="AW396" s="30"/>
      <c r="AX396" s="30"/>
      <c r="AY396" s="30"/>
      <c r="AZ396" s="30"/>
      <c r="BA396" s="30"/>
      <c r="BB396" s="30"/>
    </row>
    <row r="397" spans="1:54" x14ac:dyDescent="0.2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30"/>
      <c r="AO397" s="30"/>
      <c r="AP397" s="30"/>
      <c r="AQ397" s="30"/>
      <c r="AR397" s="30"/>
      <c r="AS397" s="30"/>
      <c r="AT397" s="30"/>
      <c r="AU397" s="30"/>
      <c r="AV397" s="30"/>
      <c r="AW397" s="30"/>
      <c r="AX397" s="30"/>
      <c r="AY397" s="30"/>
      <c r="AZ397" s="30"/>
      <c r="BA397" s="30"/>
      <c r="BB397" s="30"/>
    </row>
    <row r="398" spans="1:54" x14ac:dyDescent="0.2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  <c r="AP398" s="30"/>
      <c r="AQ398" s="30"/>
      <c r="AR398" s="30"/>
      <c r="AS398" s="30"/>
      <c r="AT398" s="30"/>
      <c r="AU398" s="30"/>
      <c r="AV398" s="30"/>
      <c r="AW398" s="30"/>
      <c r="AX398" s="30"/>
      <c r="AY398" s="30"/>
      <c r="AZ398" s="30"/>
      <c r="BA398" s="30"/>
      <c r="BB398" s="30"/>
    </row>
    <row r="399" spans="1:54" x14ac:dyDescent="0.2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  <c r="AP399" s="30"/>
      <c r="AQ399" s="30"/>
      <c r="AR399" s="30"/>
      <c r="AS399" s="30"/>
      <c r="AT399" s="30"/>
      <c r="AU399" s="30"/>
      <c r="AV399" s="30"/>
      <c r="AW399" s="30"/>
      <c r="AX399" s="30"/>
      <c r="AY399" s="30"/>
      <c r="AZ399" s="30"/>
      <c r="BA399" s="30"/>
      <c r="BB399" s="30"/>
    </row>
    <row r="400" spans="1:54" x14ac:dyDescent="0.2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30"/>
      <c r="AO400" s="30"/>
      <c r="AP400" s="30"/>
      <c r="AQ400" s="30"/>
      <c r="AR400" s="30"/>
      <c r="AS400" s="30"/>
      <c r="AT400" s="30"/>
      <c r="AU400" s="30"/>
      <c r="AV400" s="30"/>
      <c r="AW400" s="30"/>
      <c r="AX400" s="30"/>
      <c r="AY400" s="30"/>
      <c r="AZ400" s="30"/>
      <c r="BA400" s="30"/>
      <c r="BB400" s="30"/>
    </row>
    <row r="401" spans="1:54" x14ac:dyDescent="0.2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30"/>
      <c r="AV401" s="30"/>
      <c r="AW401" s="30"/>
      <c r="AX401" s="30"/>
      <c r="AY401" s="30"/>
      <c r="AZ401" s="30"/>
      <c r="BA401" s="30"/>
      <c r="BB401" s="30"/>
    </row>
    <row r="402" spans="1:54" x14ac:dyDescent="0.2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30"/>
      <c r="AV402" s="30"/>
      <c r="AW402" s="30"/>
      <c r="AX402" s="30"/>
      <c r="AY402" s="30"/>
      <c r="AZ402" s="30"/>
      <c r="BA402" s="30"/>
      <c r="BB402" s="30"/>
    </row>
    <row r="403" spans="1:54" x14ac:dyDescent="0.2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  <c r="AP403" s="30"/>
      <c r="AQ403" s="30"/>
      <c r="AR403" s="30"/>
      <c r="AS403" s="30"/>
      <c r="AT403" s="30"/>
      <c r="AU403" s="30"/>
      <c r="AV403" s="30"/>
      <c r="AW403" s="30"/>
      <c r="AX403" s="30"/>
      <c r="AY403" s="30"/>
      <c r="AZ403" s="30"/>
      <c r="BA403" s="30"/>
      <c r="BB403" s="30"/>
    </row>
    <row r="404" spans="1:54" x14ac:dyDescent="0.2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30"/>
      <c r="AV404" s="30"/>
      <c r="AW404" s="30"/>
      <c r="AX404" s="30"/>
      <c r="AY404" s="30"/>
      <c r="AZ404" s="30"/>
      <c r="BA404" s="30"/>
      <c r="BB404" s="30"/>
    </row>
    <row r="405" spans="1:54" x14ac:dyDescent="0.2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  <c r="AP405" s="30"/>
      <c r="AQ405" s="30"/>
      <c r="AR405" s="30"/>
      <c r="AS405" s="30"/>
      <c r="AT405" s="30"/>
      <c r="AU405" s="30"/>
      <c r="AV405" s="30"/>
      <c r="AW405" s="30"/>
      <c r="AX405" s="30"/>
      <c r="AY405" s="30"/>
      <c r="AZ405" s="30"/>
      <c r="BA405" s="30"/>
      <c r="BB405" s="30"/>
    </row>
    <row r="406" spans="1:54" x14ac:dyDescent="0.2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  <c r="AP406" s="30"/>
      <c r="AQ406" s="30"/>
      <c r="AR406" s="30"/>
      <c r="AS406" s="30"/>
      <c r="AT406" s="30"/>
      <c r="AU406" s="30"/>
      <c r="AV406" s="30"/>
      <c r="AW406" s="30"/>
      <c r="AX406" s="30"/>
      <c r="AY406" s="30"/>
      <c r="AZ406" s="30"/>
      <c r="BA406" s="30"/>
      <c r="BB406" s="30"/>
    </row>
    <row r="407" spans="1:54" x14ac:dyDescent="0.2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30"/>
      <c r="AV407" s="30"/>
      <c r="AW407" s="30"/>
      <c r="AX407" s="30"/>
      <c r="AY407" s="30"/>
      <c r="AZ407" s="30"/>
      <c r="BA407" s="30"/>
      <c r="BB407" s="30"/>
    </row>
    <row r="408" spans="1:54" x14ac:dyDescent="0.2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30"/>
      <c r="AV408" s="30"/>
      <c r="AW408" s="30"/>
      <c r="AX408" s="30"/>
      <c r="AY408" s="30"/>
      <c r="AZ408" s="30"/>
      <c r="BA408" s="30"/>
      <c r="BB408" s="30"/>
    </row>
    <row r="409" spans="1:54" x14ac:dyDescent="0.2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  <c r="AP409" s="30"/>
      <c r="AQ409" s="30"/>
      <c r="AR409" s="30"/>
      <c r="AS409" s="30"/>
      <c r="AT409" s="30"/>
      <c r="AU409" s="30"/>
      <c r="AV409" s="30"/>
      <c r="AW409" s="30"/>
      <c r="AX409" s="30"/>
      <c r="AY409" s="30"/>
      <c r="AZ409" s="30"/>
      <c r="BA409" s="30"/>
      <c r="BB409" s="30"/>
    </row>
    <row r="410" spans="1:54" x14ac:dyDescent="0.2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30"/>
      <c r="AV410" s="30"/>
      <c r="AW410" s="30"/>
      <c r="AX410" s="30"/>
      <c r="AY410" s="30"/>
      <c r="AZ410" s="30"/>
      <c r="BA410" s="30"/>
      <c r="BB410" s="30"/>
    </row>
    <row r="411" spans="1:54" x14ac:dyDescent="0.2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30"/>
      <c r="AV411" s="30"/>
      <c r="AW411" s="30"/>
      <c r="AX411" s="30"/>
      <c r="AY411" s="30"/>
      <c r="AZ411" s="30"/>
      <c r="BA411" s="30"/>
      <c r="BB411" s="30"/>
    </row>
    <row r="412" spans="1:54" x14ac:dyDescent="0.2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  <c r="AP412" s="30"/>
      <c r="AQ412" s="30"/>
      <c r="AR412" s="30"/>
      <c r="AS412" s="30"/>
      <c r="AT412" s="30"/>
      <c r="AU412" s="30"/>
      <c r="AV412" s="30"/>
      <c r="AW412" s="30"/>
      <c r="AX412" s="30"/>
      <c r="AY412" s="30"/>
      <c r="AZ412" s="30"/>
      <c r="BA412" s="30"/>
      <c r="BB412" s="30"/>
    </row>
    <row r="413" spans="1:54" x14ac:dyDescent="0.2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30"/>
      <c r="AV413" s="30"/>
      <c r="AW413" s="30"/>
      <c r="AX413" s="30"/>
      <c r="AY413" s="30"/>
      <c r="AZ413" s="30"/>
      <c r="BA413" s="30"/>
      <c r="BB413" s="30"/>
    </row>
    <row r="414" spans="1:54" x14ac:dyDescent="0.2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30"/>
      <c r="AV414" s="30"/>
      <c r="AW414" s="30"/>
      <c r="AX414" s="30"/>
      <c r="AY414" s="30"/>
      <c r="AZ414" s="30"/>
      <c r="BA414" s="30"/>
      <c r="BB414" s="30"/>
    </row>
    <row r="415" spans="1:54" x14ac:dyDescent="0.2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  <c r="AP415" s="30"/>
      <c r="AQ415" s="30"/>
      <c r="AR415" s="30"/>
      <c r="AS415" s="30"/>
      <c r="AT415" s="30"/>
      <c r="AU415" s="30"/>
      <c r="AV415" s="30"/>
      <c r="AW415" s="30"/>
      <c r="AX415" s="30"/>
      <c r="AY415" s="30"/>
      <c r="AZ415" s="30"/>
      <c r="BA415" s="30"/>
      <c r="BB415" s="30"/>
    </row>
    <row r="416" spans="1:54" x14ac:dyDescent="0.2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30"/>
      <c r="AV416" s="30"/>
      <c r="AW416" s="30"/>
      <c r="AX416" s="30"/>
      <c r="AY416" s="30"/>
      <c r="AZ416" s="30"/>
      <c r="BA416" s="30"/>
      <c r="BB416" s="30"/>
    </row>
    <row r="417" spans="1:54" x14ac:dyDescent="0.2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30"/>
      <c r="AV417" s="30"/>
      <c r="AW417" s="30"/>
      <c r="AX417" s="30"/>
      <c r="AY417" s="30"/>
      <c r="AZ417" s="30"/>
      <c r="BA417" s="30"/>
      <c r="BB417" s="30"/>
    </row>
    <row r="418" spans="1:54" x14ac:dyDescent="0.2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  <c r="AP418" s="30"/>
      <c r="AQ418" s="30"/>
      <c r="AR418" s="30"/>
      <c r="AS418" s="30"/>
      <c r="AT418" s="30"/>
      <c r="AU418" s="30"/>
      <c r="AV418" s="30"/>
      <c r="AW418" s="30"/>
      <c r="AX418" s="30"/>
      <c r="AY418" s="30"/>
      <c r="AZ418" s="30"/>
      <c r="BA418" s="30"/>
      <c r="BB418" s="30"/>
    </row>
    <row r="419" spans="1:54" x14ac:dyDescent="0.2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30"/>
      <c r="AV419" s="30"/>
      <c r="AW419" s="30"/>
      <c r="AX419" s="30"/>
      <c r="AY419" s="30"/>
      <c r="AZ419" s="30"/>
      <c r="BA419" s="30"/>
      <c r="BB419" s="30"/>
    </row>
    <row r="420" spans="1:54" x14ac:dyDescent="0.2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30"/>
      <c r="AV420" s="30"/>
      <c r="AW420" s="30"/>
      <c r="AX420" s="30"/>
      <c r="AY420" s="30"/>
      <c r="AZ420" s="30"/>
      <c r="BA420" s="30"/>
      <c r="BB420" s="30"/>
    </row>
    <row r="421" spans="1:54" x14ac:dyDescent="0.2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  <c r="AP421" s="30"/>
      <c r="AQ421" s="30"/>
      <c r="AR421" s="30"/>
      <c r="AS421" s="30"/>
      <c r="AT421" s="30"/>
      <c r="AU421" s="30"/>
      <c r="AV421" s="30"/>
      <c r="AW421" s="30"/>
      <c r="AX421" s="30"/>
      <c r="AY421" s="30"/>
      <c r="AZ421" s="30"/>
      <c r="BA421" s="30"/>
      <c r="BB421" s="30"/>
    </row>
    <row r="422" spans="1:54" x14ac:dyDescent="0.2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30"/>
      <c r="AV422" s="30"/>
      <c r="AW422" s="30"/>
      <c r="AX422" s="30"/>
      <c r="AY422" s="30"/>
      <c r="AZ422" s="30"/>
      <c r="BA422" s="30"/>
      <c r="BB422" s="30"/>
    </row>
    <row r="423" spans="1:54" x14ac:dyDescent="0.2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30"/>
      <c r="AV423" s="30"/>
      <c r="AW423" s="30"/>
      <c r="AX423" s="30"/>
      <c r="AY423" s="30"/>
      <c r="AZ423" s="30"/>
      <c r="BA423" s="30"/>
      <c r="BB423" s="30"/>
    </row>
    <row r="424" spans="1:54" x14ac:dyDescent="0.2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  <c r="AP424" s="30"/>
      <c r="AQ424" s="30"/>
      <c r="AR424" s="30"/>
      <c r="AS424" s="30"/>
      <c r="AT424" s="30"/>
      <c r="AU424" s="30"/>
      <c r="AV424" s="30"/>
      <c r="AW424" s="30"/>
      <c r="AX424" s="30"/>
      <c r="AY424" s="30"/>
      <c r="AZ424" s="30"/>
      <c r="BA424" s="30"/>
      <c r="BB424" s="30"/>
    </row>
    <row r="425" spans="1:54" x14ac:dyDescent="0.2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30"/>
      <c r="AV425" s="30"/>
      <c r="AW425" s="30"/>
      <c r="AX425" s="30"/>
      <c r="AY425" s="30"/>
      <c r="AZ425" s="30"/>
      <c r="BA425" s="30"/>
      <c r="BB425" s="30"/>
    </row>
    <row r="426" spans="1:54" x14ac:dyDescent="0.2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30"/>
      <c r="AV426" s="30"/>
      <c r="AW426" s="30"/>
      <c r="AX426" s="30"/>
      <c r="AY426" s="30"/>
      <c r="AZ426" s="30"/>
      <c r="BA426" s="30"/>
      <c r="BB426" s="30"/>
    </row>
    <row r="427" spans="1:54" x14ac:dyDescent="0.2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  <c r="AP427" s="30"/>
      <c r="AQ427" s="30"/>
      <c r="AR427" s="30"/>
      <c r="AS427" s="30"/>
      <c r="AT427" s="30"/>
      <c r="AU427" s="30"/>
      <c r="AV427" s="30"/>
      <c r="AW427" s="30"/>
      <c r="AX427" s="30"/>
      <c r="AY427" s="30"/>
      <c r="AZ427" s="30"/>
      <c r="BA427" s="30"/>
      <c r="BB427" s="30"/>
    </row>
    <row r="428" spans="1:54" x14ac:dyDescent="0.2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30"/>
      <c r="AV428" s="30"/>
      <c r="AW428" s="30"/>
      <c r="AX428" s="30"/>
      <c r="AY428" s="30"/>
      <c r="AZ428" s="30"/>
      <c r="BA428" s="30"/>
      <c r="BB428" s="30"/>
    </row>
    <row r="429" spans="1:54" x14ac:dyDescent="0.2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  <c r="AP429" s="30"/>
      <c r="AQ429" s="30"/>
      <c r="AR429" s="30"/>
      <c r="AS429" s="30"/>
      <c r="AT429" s="30"/>
      <c r="AU429" s="30"/>
      <c r="AV429" s="30"/>
      <c r="AW429" s="30"/>
      <c r="AX429" s="30"/>
      <c r="AY429" s="30"/>
      <c r="AZ429" s="30"/>
      <c r="BA429" s="30"/>
      <c r="BB429" s="30"/>
    </row>
    <row r="430" spans="1:54" x14ac:dyDescent="0.2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  <c r="AP430" s="30"/>
      <c r="AQ430" s="30"/>
      <c r="AR430" s="30"/>
      <c r="AS430" s="30"/>
      <c r="AT430" s="30"/>
      <c r="AU430" s="30"/>
      <c r="AV430" s="30"/>
      <c r="AW430" s="30"/>
      <c r="AX430" s="30"/>
      <c r="AY430" s="30"/>
      <c r="AZ430" s="30"/>
      <c r="BA430" s="30"/>
      <c r="BB430" s="30"/>
    </row>
    <row r="431" spans="1:54" x14ac:dyDescent="0.2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  <c r="AP431" s="30"/>
      <c r="AQ431" s="30"/>
      <c r="AR431" s="30"/>
      <c r="AS431" s="30"/>
      <c r="AT431" s="30"/>
      <c r="AU431" s="30"/>
      <c r="AV431" s="30"/>
      <c r="AW431" s="30"/>
      <c r="AX431" s="30"/>
      <c r="AY431" s="30"/>
      <c r="AZ431" s="30"/>
      <c r="BA431" s="30"/>
      <c r="BB431" s="30"/>
    </row>
    <row r="432" spans="1:54" x14ac:dyDescent="0.2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30"/>
      <c r="AV432" s="30"/>
      <c r="AW432" s="30"/>
      <c r="AX432" s="30"/>
      <c r="AY432" s="30"/>
      <c r="AZ432" s="30"/>
      <c r="BA432" s="30"/>
      <c r="BB432" s="30"/>
    </row>
    <row r="433" spans="1:54" x14ac:dyDescent="0.2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  <c r="AO433" s="30"/>
      <c r="AP433" s="30"/>
      <c r="AQ433" s="30"/>
      <c r="AR433" s="30"/>
      <c r="AS433" s="30"/>
      <c r="AT433" s="30"/>
      <c r="AU433" s="30"/>
      <c r="AV433" s="30"/>
      <c r="AW433" s="30"/>
      <c r="AX433" s="30"/>
      <c r="AY433" s="30"/>
      <c r="AZ433" s="30"/>
      <c r="BA433" s="30"/>
      <c r="BB433" s="30"/>
    </row>
    <row r="434" spans="1:54" x14ac:dyDescent="0.2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  <c r="AP434" s="30"/>
      <c r="AQ434" s="30"/>
      <c r="AR434" s="30"/>
      <c r="AS434" s="30"/>
      <c r="AT434" s="30"/>
      <c r="AU434" s="30"/>
      <c r="AV434" s="30"/>
      <c r="AW434" s="30"/>
      <c r="AX434" s="30"/>
      <c r="AY434" s="30"/>
      <c r="AZ434" s="30"/>
      <c r="BA434" s="30"/>
      <c r="BB434" s="30"/>
    </row>
    <row r="435" spans="1:54" x14ac:dyDescent="0.2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  <c r="AP435" s="30"/>
      <c r="AQ435" s="30"/>
      <c r="AR435" s="30"/>
      <c r="AS435" s="30"/>
      <c r="AT435" s="30"/>
      <c r="AU435" s="30"/>
      <c r="AV435" s="30"/>
      <c r="AW435" s="30"/>
      <c r="AX435" s="30"/>
      <c r="AY435" s="30"/>
      <c r="AZ435" s="30"/>
      <c r="BA435" s="30"/>
      <c r="BB435" s="30"/>
    </row>
    <row r="436" spans="1:54" x14ac:dyDescent="0.2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  <c r="AO436" s="30"/>
      <c r="AP436" s="30"/>
      <c r="AQ436" s="30"/>
      <c r="AR436" s="30"/>
      <c r="AS436" s="30"/>
      <c r="AT436" s="30"/>
      <c r="AU436" s="30"/>
      <c r="AV436" s="30"/>
      <c r="AW436" s="30"/>
      <c r="AX436" s="30"/>
      <c r="AY436" s="30"/>
      <c r="AZ436" s="30"/>
      <c r="BA436" s="30"/>
      <c r="BB436" s="30"/>
    </row>
    <row r="437" spans="1:54" x14ac:dyDescent="0.2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  <c r="AP437" s="30"/>
      <c r="AQ437" s="30"/>
      <c r="AR437" s="30"/>
      <c r="AS437" s="30"/>
      <c r="AT437" s="30"/>
      <c r="AU437" s="30"/>
      <c r="AV437" s="30"/>
      <c r="AW437" s="30"/>
      <c r="AX437" s="30"/>
      <c r="AY437" s="30"/>
      <c r="AZ437" s="30"/>
      <c r="BA437" s="30"/>
      <c r="BB437" s="30"/>
    </row>
    <row r="438" spans="1:54" x14ac:dyDescent="0.2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  <c r="AP438" s="30"/>
      <c r="AQ438" s="30"/>
      <c r="AR438" s="30"/>
      <c r="AS438" s="30"/>
      <c r="AT438" s="30"/>
      <c r="AU438" s="30"/>
      <c r="AV438" s="30"/>
      <c r="AW438" s="30"/>
      <c r="AX438" s="30"/>
      <c r="AY438" s="30"/>
      <c r="AZ438" s="30"/>
      <c r="BA438" s="30"/>
      <c r="BB438" s="30"/>
    </row>
    <row r="439" spans="1:54" x14ac:dyDescent="0.2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30"/>
      <c r="AO439" s="30"/>
      <c r="AP439" s="30"/>
      <c r="AQ439" s="30"/>
      <c r="AR439" s="30"/>
      <c r="AS439" s="30"/>
      <c r="AT439" s="30"/>
      <c r="AU439" s="30"/>
      <c r="AV439" s="30"/>
      <c r="AW439" s="30"/>
      <c r="AX439" s="30"/>
      <c r="AY439" s="30"/>
      <c r="AZ439" s="30"/>
      <c r="BA439" s="30"/>
      <c r="BB439" s="30"/>
    </row>
    <row r="440" spans="1:54" x14ac:dyDescent="0.2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  <c r="AP440" s="30"/>
      <c r="AQ440" s="30"/>
      <c r="AR440" s="30"/>
      <c r="AS440" s="30"/>
      <c r="AT440" s="30"/>
      <c r="AU440" s="30"/>
      <c r="AV440" s="30"/>
      <c r="AW440" s="30"/>
      <c r="AX440" s="30"/>
      <c r="AY440" s="30"/>
      <c r="AZ440" s="30"/>
      <c r="BA440" s="30"/>
      <c r="BB440" s="30"/>
    </row>
    <row r="441" spans="1:54" x14ac:dyDescent="0.2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  <c r="AP441" s="30"/>
      <c r="AQ441" s="30"/>
      <c r="AR441" s="30"/>
      <c r="AS441" s="30"/>
      <c r="AT441" s="30"/>
      <c r="AU441" s="30"/>
      <c r="AV441" s="30"/>
      <c r="AW441" s="30"/>
      <c r="AX441" s="30"/>
      <c r="AY441" s="30"/>
      <c r="AZ441" s="30"/>
      <c r="BA441" s="30"/>
      <c r="BB441" s="30"/>
    </row>
    <row r="442" spans="1:54" x14ac:dyDescent="0.2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  <c r="AO442" s="30"/>
      <c r="AP442" s="30"/>
      <c r="AQ442" s="30"/>
      <c r="AR442" s="30"/>
      <c r="AS442" s="30"/>
      <c r="AT442" s="30"/>
      <c r="AU442" s="30"/>
      <c r="AV442" s="30"/>
      <c r="AW442" s="30"/>
      <c r="AX442" s="30"/>
      <c r="AY442" s="30"/>
      <c r="AZ442" s="30"/>
      <c r="BA442" s="30"/>
      <c r="BB442" s="30"/>
    </row>
    <row r="443" spans="1:54" x14ac:dyDescent="0.2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  <c r="AP443" s="30"/>
      <c r="AQ443" s="30"/>
      <c r="AR443" s="30"/>
      <c r="AS443" s="30"/>
      <c r="AT443" s="30"/>
      <c r="AU443" s="30"/>
      <c r="AV443" s="30"/>
      <c r="AW443" s="30"/>
      <c r="AX443" s="30"/>
      <c r="AY443" s="30"/>
      <c r="AZ443" s="30"/>
      <c r="BA443" s="30"/>
      <c r="BB443" s="30"/>
    </row>
    <row r="444" spans="1:54" x14ac:dyDescent="0.2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  <c r="AP444" s="30"/>
      <c r="AQ444" s="30"/>
      <c r="AR444" s="30"/>
      <c r="AS444" s="30"/>
      <c r="AT444" s="30"/>
      <c r="AU444" s="30"/>
      <c r="AV444" s="30"/>
      <c r="AW444" s="30"/>
      <c r="AX444" s="30"/>
      <c r="AY444" s="30"/>
      <c r="AZ444" s="30"/>
      <c r="BA444" s="30"/>
      <c r="BB444" s="30"/>
    </row>
    <row r="445" spans="1:54" x14ac:dyDescent="0.2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  <c r="AO445" s="30"/>
      <c r="AP445" s="30"/>
      <c r="AQ445" s="30"/>
      <c r="AR445" s="30"/>
      <c r="AS445" s="30"/>
      <c r="AT445" s="30"/>
      <c r="AU445" s="30"/>
      <c r="AV445" s="30"/>
      <c r="AW445" s="30"/>
      <c r="AX445" s="30"/>
      <c r="AY445" s="30"/>
      <c r="AZ445" s="30"/>
      <c r="BA445" s="30"/>
      <c r="BB445" s="30"/>
    </row>
    <row r="446" spans="1:54" x14ac:dyDescent="0.2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  <c r="AP446" s="30"/>
      <c r="AQ446" s="30"/>
      <c r="AR446" s="30"/>
      <c r="AS446" s="30"/>
      <c r="AT446" s="30"/>
      <c r="AU446" s="30"/>
      <c r="AV446" s="30"/>
      <c r="AW446" s="30"/>
      <c r="AX446" s="30"/>
      <c r="AY446" s="30"/>
      <c r="AZ446" s="30"/>
      <c r="BA446" s="30"/>
      <c r="BB446" s="30"/>
    </row>
    <row r="447" spans="1:54" x14ac:dyDescent="0.2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  <c r="AP447" s="30"/>
      <c r="AQ447" s="30"/>
      <c r="AR447" s="30"/>
      <c r="AS447" s="30"/>
      <c r="AT447" s="30"/>
      <c r="AU447" s="30"/>
      <c r="AV447" s="30"/>
      <c r="AW447" s="30"/>
      <c r="AX447" s="30"/>
      <c r="AY447" s="30"/>
      <c r="AZ447" s="30"/>
      <c r="BA447" s="30"/>
      <c r="BB447" s="30"/>
    </row>
    <row r="448" spans="1:54" x14ac:dyDescent="0.2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30"/>
      <c r="AO448" s="30"/>
      <c r="AP448" s="30"/>
      <c r="AQ448" s="30"/>
      <c r="AR448" s="30"/>
      <c r="AS448" s="30"/>
      <c r="AT448" s="30"/>
      <c r="AU448" s="30"/>
      <c r="AV448" s="30"/>
      <c r="AW448" s="30"/>
      <c r="AX448" s="30"/>
      <c r="AY448" s="30"/>
      <c r="AZ448" s="30"/>
      <c r="BA448" s="30"/>
      <c r="BB448" s="30"/>
    </row>
    <row r="449" spans="1:54" x14ac:dyDescent="0.2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  <c r="AP449" s="30"/>
      <c r="AQ449" s="30"/>
      <c r="AR449" s="30"/>
      <c r="AS449" s="30"/>
      <c r="AT449" s="30"/>
      <c r="AU449" s="30"/>
      <c r="AV449" s="30"/>
      <c r="AW449" s="30"/>
      <c r="AX449" s="30"/>
      <c r="AY449" s="30"/>
      <c r="AZ449" s="30"/>
      <c r="BA449" s="30"/>
      <c r="BB449" s="30"/>
    </row>
    <row r="450" spans="1:54" x14ac:dyDescent="0.2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  <c r="AP450" s="30"/>
      <c r="AQ450" s="30"/>
      <c r="AR450" s="30"/>
      <c r="AS450" s="30"/>
      <c r="AT450" s="30"/>
      <c r="AU450" s="30"/>
      <c r="AV450" s="30"/>
      <c r="AW450" s="30"/>
      <c r="AX450" s="30"/>
      <c r="AY450" s="30"/>
      <c r="AZ450" s="30"/>
      <c r="BA450" s="30"/>
      <c r="BB450" s="30"/>
    </row>
    <row r="451" spans="1:54" x14ac:dyDescent="0.2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  <c r="AO451" s="30"/>
      <c r="AP451" s="30"/>
      <c r="AQ451" s="30"/>
      <c r="AR451" s="30"/>
      <c r="AS451" s="30"/>
      <c r="AT451" s="30"/>
      <c r="AU451" s="30"/>
      <c r="AV451" s="30"/>
      <c r="AW451" s="30"/>
      <c r="AX451" s="30"/>
      <c r="AY451" s="30"/>
      <c r="AZ451" s="30"/>
      <c r="BA451" s="30"/>
      <c r="BB451" s="30"/>
    </row>
    <row r="452" spans="1:54" x14ac:dyDescent="0.2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  <c r="AP452" s="30"/>
      <c r="AQ452" s="30"/>
      <c r="AR452" s="30"/>
      <c r="AS452" s="30"/>
      <c r="AT452" s="30"/>
      <c r="AU452" s="30"/>
      <c r="AV452" s="30"/>
      <c r="AW452" s="30"/>
      <c r="AX452" s="30"/>
      <c r="AY452" s="30"/>
      <c r="AZ452" s="30"/>
      <c r="BA452" s="30"/>
      <c r="BB452" s="30"/>
    </row>
    <row r="453" spans="1:54" x14ac:dyDescent="0.2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  <c r="AP453" s="30"/>
      <c r="AQ453" s="30"/>
      <c r="AR453" s="30"/>
      <c r="AS453" s="30"/>
      <c r="AT453" s="30"/>
      <c r="AU453" s="30"/>
      <c r="AV453" s="30"/>
      <c r="AW453" s="30"/>
      <c r="AX453" s="30"/>
      <c r="AY453" s="30"/>
      <c r="AZ453" s="30"/>
      <c r="BA453" s="30"/>
      <c r="BB453" s="30"/>
    </row>
    <row r="454" spans="1:54" x14ac:dyDescent="0.2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30"/>
      <c r="AO454" s="30"/>
      <c r="AP454" s="30"/>
      <c r="AQ454" s="30"/>
      <c r="AR454" s="30"/>
      <c r="AS454" s="30"/>
      <c r="AT454" s="30"/>
      <c r="AU454" s="30"/>
      <c r="AV454" s="30"/>
      <c r="AW454" s="30"/>
      <c r="AX454" s="30"/>
      <c r="AY454" s="30"/>
      <c r="AZ454" s="30"/>
      <c r="BA454" s="30"/>
      <c r="BB454" s="30"/>
    </row>
    <row r="455" spans="1:54" x14ac:dyDescent="0.2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  <c r="AP455" s="30"/>
      <c r="AQ455" s="30"/>
      <c r="AR455" s="30"/>
      <c r="AS455" s="30"/>
      <c r="AT455" s="30"/>
      <c r="AU455" s="30"/>
      <c r="AV455" s="30"/>
      <c r="AW455" s="30"/>
      <c r="AX455" s="30"/>
      <c r="AY455" s="30"/>
      <c r="AZ455" s="30"/>
      <c r="BA455" s="30"/>
      <c r="BB455" s="30"/>
    </row>
    <row r="456" spans="1:54" x14ac:dyDescent="0.2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  <c r="AP456" s="30"/>
      <c r="AQ456" s="30"/>
      <c r="AR456" s="30"/>
      <c r="AS456" s="30"/>
      <c r="AT456" s="30"/>
      <c r="AU456" s="30"/>
      <c r="AV456" s="30"/>
      <c r="AW456" s="30"/>
      <c r="AX456" s="30"/>
      <c r="AY456" s="30"/>
      <c r="AZ456" s="30"/>
      <c r="BA456" s="30"/>
      <c r="BB456" s="30"/>
    </row>
    <row r="457" spans="1:54" x14ac:dyDescent="0.2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30"/>
      <c r="AO457" s="30"/>
      <c r="AP457" s="30"/>
      <c r="AQ457" s="30"/>
      <c r="AR457" s="30"/>
      <c r="AS457" s="30"/>
      <c r="AT457" s="30"/>
      <c r="AU457" s="30"/>
      <c r="AV457" s="30"/>
      <c r="AW457" s="30"/>
      <c r="AX457" s="30"/>
      <c r="AY457" s="30"/>
      <c r="AZ457" s="30"/>
      <c r="BA457" s="30"/>
      <c r="BB457" s="30"/>
    </row>
    <row r="458" spans="1:54" x14ac:dyDescent="0.2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  <c r="AP458" s="30"/>
      <c r="AQ458" s="30"/>
      <c r="AR458" s="30"/>
      <c r="AS458" s="30"/>
      <c r="AT458" s="30"/>
      <c r="AU458" s="30"/>
      <c r="AV458" s="30"/>
      <c r="AW458" s="30"/>
      <c r="AX458" s="30"/>
      <c r="AY458" s="30"/>
      <c r="AZ458" s="30"/>
      <c r="BA458" s="30"/>
      <c r="BB458" s="30"/>
    </row>
    <row r="459" spans="1:54" x14ac:dyDescent="0.2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  <c r="AP459" s="30"/>
      <c r="AQ459" s="30"/>
      <c r="AR459" s="30"/>
      <c r="AS459" s="30"/>
      <c r="AT459" s="30"/>
      <c r="AU459" s="30"/>
      <c r="AV459" s="30"/>
      <c r="AW459" s="30"/>
      <c r="AX459" s="30"/>
      <c r="AY459" s="30"/>
      <c r="AZ459" s="30"/>
      <c r="BA459" s="30"/>
      <c r="BB459" s="30"/>
    </row>
    <row r="460" spans="1:54" x14ac:dyDescent="0.2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30"/>
      <c r="AO460" s="30"/>
      <c r="AP460" s="30"/>
      <c r="AQ460" s="30"/>
      <c r="AR460" s="30"/>
      <c r="AS460" s="30"/>
      <c r="AT460" s="30"/>
      <c r="AU460" s="30"/>
      <c r="AV460" s="30"/>
      <c r="AW460" s="30"/>
      <c r="AX460" s="30"/>
      <c r="AY460" s="30"/>
      <c r="AZ460" s="30"/>
      <c r="BA460" s="30"/>
      <c r="BB460" s="30"/>
    </row>
    <row r="461" spans="1:54" x14ac:dyDescent="0.2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30"/>
      <c r="AG461" s="30"/>
      <c r="AH461" s="30"/>
      <c r="AI461" s="30"/>
      <c r="AJ461" s="30"/>
      <c r="AK461" s="30"/>
      <c r="AL461" s="30"/>
      <c r="AM461" s="30"/>
      <c r="AN461" s="30"/>
      <c r="AO461" s="30"/>
      <c r="AP461" s="30"/>
      <c r="AQ461" s="30"/>
      <c r="AR461" s="30"/>
      <c r="AS461" s="30"/>
      <c r="AT461" s="30"/>
      <c r="AU461" s="30"/>
      <c r="AV461" s="30"/>
      <c r="AW461" s="30"/>
      <c r="AX461" s="30"/>
      <c r="AY461" s="30"/>
      <c r="AZ461" s="30"/>
      <c r="BA461" s="30"/>
      <c r="BB461" s="30"/>
    </row>
    <row r="462" spans="1:54" x14ac:dyDescent="0.2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  <c r="AN462" s="30"/>
      <c r="AO462" s="30"/>
      <c r="AP462" s="30"/>
      <c r="AQ462" s="30"/>
      <c r="AR462" s="30"/>
      <c r="AS462" s="30"/>
      <c r="AT462" s="30"/>
      <c r="AU462" s="30"/>
      <c r="AV462" s="30"/>
      <c r="AW462" s="30"/>
      <c r="AX462" s="30"/>
      <c r="AY462" s="30"/>
      <c r="AZ462" s="30"/>
      <c r="BA462" s="30"/>
      <c r="BB462" s="30"/>
    </row>
    <row r="463" spans="1:54" x14ac:dyDescent="0.2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  <c r="AK463" s="30"/>
      <c r="AL463" s="30"/>
      <c r="AM463" s="30"/>
      <c r="AN463" s="30"/>
      <c r="AO463" s="30"/>
      <c r="AP463" s="30"/>
      <c r="AQ463" s="30"/>
      <c r="AR463" s="30"/>
      <c r="AS463" s="30"/>
      <c r="AT463" s="30"/>
      <c r="AU463" s="30"/>
      <c r="AV463" s="30"/>
      <c r="AW463" s="30"/>
      <c r="AX463" s="30"/>
      <c r="AY463" s="30"/>
      <c r="AZ463" s="30"/>
      <c r="BA463" s="30"/>
      <c r="BB463" s="30"/>
    </row>
    <row r="464" spans="1:54" x14ac:dyDescent="0.2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0"/>
      <c r="AK464" s="30"/>
      <c r="AL464" s="30"/>
      <c r="AM464" s="30"/>
      <c r="AN464" s="30"/>
      <c r="AO464" s="30"/>
      <c r="AP464" s="30"/>
      <c r="AQ464" s="30"/>
      <c r="AR464" s="30"/>
      <c r="AS464" s="30"/>
      <c r="AT464" s="30"/>
      <c r="AU464" s="30"/>
      <c r="AV464" s="30"/>
      <c r="AW464" s="30"/>
      <c r="AX464" s="30"/>
      <c r="AY464" s="30"/>
      <c r="AZ464" s="30"/>
      <c r="BA464" s="30"/>
      <c r="BB464" s="30"/>
    </row>
    <row r="465" spans="1:54" x14ac:dyDescent="0.2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0"/>
      <c r="AK465" s="30"/>
      <c r="AL465" s="30"/>
      <c r="AM465" s="30"/>
      <c r="AN465" s="30"/>
      <c r="AO465" s="30"/>
      <c r="AP465" s="30"/>
      <c r="AQ465" s="30"/>
      <c r="AR465" s="30"/>
      <c r="AS465" s="30"/>
      <c r="AT465" s="30"/>
      <c r="AU465" s="30"/>
      <c r="AV465" s="30"/>
      <c r="AW465" s="30"/>
      <c r="AX465" s="30"/>
      <c r="AY465" s="30"/>
      <c r="AZ465" s="30"/>
      <c r="BA465" s="30"/>
      <c r="BB465" s="30"/>
    </row>
    <row r="466" spans="1:54" x14ac:dyDescent="0.2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  <c r="AK466" s="30"/>
      <c r="AL466" s="30"/>
      <c r="AM466" s="30"/>
      <c r="AN466" s="30"/>
      <c r="AO466" s="30"/>
      <c r="AP466" s="30"/>
      <c r="AQ466" s="30"/>
      <c r="AR466" s="30"/>
      <c r="AS466" s="30"/>
      <c r="AT466" s="30"/>
      <c r="AU466" s="30"/>
      <c r="AV466" s="30"/>
      <c r="AW466" s="30"/>
      <c r="AX466" s="30"/>
      <c r="AY466" s="30"/>
      <c r="AZ466" s="30"/>
      <c r="BA466" s="30"/>
      <c r="BB466" s="30"/>
    </row>
    <row r="467" spans="1:54" x14ac:dyDescent="0.2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  <c r="AN467" s="30"/>
      <c r="AO467" s="30"/>
      <c r="AP467" s="30"/>
      <c r="AQ467" s="30"/>
      <c r="AR467" s="30"/>
      <c r="AS467" s="30"/>
      <c r="AT467" s="30"/>
      <c r="AU467" s="30"/>
      <c r="AV467" s="30"/>
      <c r="AW467" s="30"/>
      <c r="AX467" s="30"/>
      <c r="AY467" s="30"/>
      <c r="AZ467" s="30"/>
      <c r="BA467" s="30"/>
      <c r="BB467" s="30"/>
    </row>
    <row r="468" spans="1:54" x14ac:dyDescent="0.2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30"/>
      <c r="AO468" s="30"/>
      <c r="AP468" s="30"/>
      <c r="AQ468" s="30"/>
      <c r="AR468" s="30"/>
      <c r="AS468" s="30"/>
      <c r="AT468" s="30"/>
      <c r="AU468" s="30"/>
      <c r="AV468" s="30"/>
      <c r="AW468" s="30"/>
      <c r="AX468" s="30"/>
      <c r="AY468" s="30"/>
      <c r="AZ468" s="30"/>
      <c r="BA468" s="30"/>
      <c r="BB468" s="30"/>
    </row>
    <row r="469" spans="1:54" x14ac:dyDescent="0.2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  <c r="AJ469" s="30"/>
      <c r="AK469" s="30"/>
      <c r="AL469" s="30"/>
      <c r="AM469" s="30"/>
      <c r="AN469" s="30"/>
      <c r="AO469" s="30"/>
      <c r="AP469" s="30"/>
      <c r="AQ469" s="30"/>
      <c r="AR469" s="30"/>
      <c r="AS469" s="30"/>
      <c r="AT469" s="30"/>
      <c r="AU469" s="30"/>
      <c r="AV469" s="30"/>
      <c r="AW469" s="30"/>
      <c r="AX469" s="30"/>
      <c r="AY469" s="30"/>
      <c r="AZ469" s="30"/>
      <c r="BA469" s="30"/>
      <c r="BB469" s="30"/>
    </row>
    <row r="470" spans="1:54" x14ac:dyDescent="0.2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  <c r="AN470" s="30"/>
      <c r="AO470" s="30"/>
      <c r="AP470" s="30"/>
      <c r="AQ470" s="30"/>
      <c r="AR470" s="30"/>
      <c r="AS470" s="30"/>
      <c r="AT470" s="30"/>
      <c r="AU470" s="30"/>
      <c r="AV470" s="30"/>
      <c r="AW470" s="30"/>
      <c r="AX470" s="30"/>
      <c r="AY470" s="30"/>
      <c r="AZ470" s="30"/>
      <c r="BA470" s="30"/>
      <c r="BB470" s="30"/>
    </row>
    <row r="471" spans="1:54" x14ac:dyDescent="0.2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  <c r="AN471" s="30"/>
      <c r="AO471" s="30"/>
      <c r="AP471" s="30"/>
      <c r="AQ471" s="30"/>
      <c r="AR471" s="30"/>
      <c r="AS471" s="30"/>
      <c r="AT471" s="30"/>
      <c r="AU471" s="30"/>
      <c r="AV471" s="30"/>
      <c r="AW471" s="30"/>
      <c r="AX471" s="30"/>
      <c r="AY471" s="30"/>
      <c r="AZ471" s="30"/>
      <c r="BA471" s="30"/>
      <c r="BB471" s="30"/>
    </row>
    <row r="472" spans="1:54" x14ac:dyDescent="0.2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  <c r="AK472" s="30"/>
      <c r="AL472" s="30"/>
      <c r="AM472" s="30"/>
      <c r="AN472" s="30"/>
      <c r="AO472" s="30"/>
      <c r="AP472" s="30"/>
      <c r="AQ472" s="30"/>
      <c r="AR472" s="30"/>
      <c r="AS472" s="30"/>
      <c r="AT472" s="30"/>
      <c r="AU472" s="30"/>
      <c r="AV472" s="30"/>
      <c r="AW472" s="30"/>
      <c r="AX472" s="30"/>
      <c r="AY472" s="30"/>
      <c r="AZ472" s="30"/>
      <c r="BA472" s="30"/>
      <c r="BB472" s="30"/>
    </row>
    <row r="473" spans="1:54" x14ac:dyDescent="0.2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  <c r="AN473" s="30"/>
      <c r="AO473" s="30"/>
      <c r="AP473" s="30"/>
      <c r="AQ473" s="30"/>
      <c r="AR473" s="30"/>
      <c r="AS473" s="30"/>
      <c r="AT473" s="30"/>
      <c r="AU473" s="30"/>
      <c r="AV473" s="30"/>
      <c r="AW473" s="30"/>
      <c r="AX473" s="30"/>
      <c r="AY473" s="30"/>
      <c r="AZ473" s="30"/>
      <c r="BA473" s="30"/>
      <c r="BB473" s="30"/>
    </row>
    <row r="474" spans="1:54" x14ac:dyDescent="0.2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  <c r="AJ474" s="30"/>
      <c r="AK474" s="30"/>
      <c r="AL474" s="30"/>
      <c r="AM474" s="30"/>
      <c r="AN474" s="30"/>
      <c r="AO474" s="30"/>
      <c r="AP474" s="30"/>
      <c r="AQ474" s="30"/>
      <c r="AR474" s="30"/>
      <c r="AS474" s="30"/>
      <c r="AT474" s="30"/>
      <c r="AU474" s="30"/>
      <c r="AV474" s="30"/>
      <c r="AW474" s="30"/>
      <c r="AX474" s="30"/>
      <c r="AY474" s="30"/>
      <c r="AZ474" s="30"/>
      <c r="BA474" s="30"/>
      <c r="BB474" s="30"/>
    </row>
    <row r="475" spans="1:54" x14ac:dyDescent="0.2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  <c r="AJ475" s="30"/>
      <c r="AK475" s="30"/>
      <c r="AL475" s="30"/>
      <c r="AM475" s="30"/>
      <c r="AN475" s="30"/>
      <c r="AO475" s="30"/>
      <c r="AP475" s="30"/>
      <c r="AQ475" s="30"/>
      <c r="AR475" s="30"/>
      <c r="AS475" s="30"/>
      <c r="AT475" s="30"/>
      <c r="AU475" s="30"/>
      <c r="AV475" s="30"/>
      <c r="AW475" s="30"/>
      <c r="AX475" s="30"/>
      <c r="AY475" s="30"/>
      <c r="AZ475" s="30"/>
      <c r="BA475" s="30"/>
      <c r="BB475" s="30"/>
    </row>
    <row r="476" spans="1:54" x14ac:dyDescent="0.2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  <c r="AJ476" s="30"/>
      <c r="AK476" s="30"/>
      <c r="AL476" s="30"/>
      <c r="AM476" s="30"/>
      <c r="AN476" s="30"/>
      <c r="AO476" s="30"/>
      <c r="AP476" s="30"/>
      <c r="AQ476" s="30"/>
      <c r="AR476" s="30"/>
      <c r="AS476" s="30"/>
      <c r="AT476" s="30"/>
      <c r="AU476" s="30"/>
      <c r="AV476" s="30"/>
      <c r="AW476" s="30"/>
      <c r="AX476" s="30"/>
      <c r="AY476" s="30"/>
      <c r="AZ476" s="30"/>
      <c r="BA476" s="30"/>
      <c r="BB476" s="30"/>
    </row>
    <row r="477" spans="1:54" x14ac:dyDescent="0.2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  <c r="AN477" s="30"/>
      <c r="AO477" s="30"/>
      <c r="AP477" s="30"/>
      <c r="AQ477" s="30"/>
      <c r="AR477" s="30"/>
      <c r="AS477" s="30"/>
      <c r="AT477" s="30"/>
      <c r="AU477" s="30"/>
      <c r="AV477" s="30"/>
      <c r="AW477" s="30"/>
      <c r="AX477" s="30"/>
      <c r="AY477" s="30"/>
      <c r="AZ477" s="30"/>
      <c r="BA477" s="30"/>
      <c r="BB477" s="30"/>
    </row>
    <row r="478" spans="1:54" x14ac:dyDescent="0.2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0"/>
      <c r="AK478" s="30"/>
      <c r="AL478" s="30"/>
      <c r="AM478" s="30"/>
      <c r="AN478" s="30"/>
      <c r="AO478" s="30"/>
      <c r="AP478" s="30"/>
      <c r="AQ478" s="30"/>
      <c r="AR478" s="30"/>
      <c r="AS478" s="30"/>
      <c r="AT478" s="30"/>
      <c r="AU478" s="30"/>
      <c r="AV478" s="30"/>
      <c r="AW478" s="30"/>
      <c r="AX478" s="30"/>
      <c r="AY478" s="30"/>
      <c r="AZ478" s="30"/>
      <c r="BA478" s="30"/>
      <c r="BB478" s="30"/>
    </row>
    <row r="479" spans="1:54" x14ac:dyDescent="0.2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0"/>
      <c r="AK479" s="30"/>
      <c r="AL479" s="30"/>
      <c r="AM479" s="30"/>
      <c r="AN479" s="30"/>
      <c r="AO479" s="30"/>
      <c r="AP479" s="30"/>
      <c r="AQ479" s="30"/>
      <c r="AR479" s="30"/>
      <c r="AS479" s="30"/>
      <c r="AT479" s="30"/>
      <c r="AU479" s="30"/>
      <c r="AV479" s="30"/>
      <c r="AW479" s="30"/>
      <c r="AX479" s="30"/>
      <c r="AY479" s="30"/>
      <c r="AZ479" s="30"/>
      <c r="BA479" s="30"/>
      <c r="BB479" s="30"/>
    </row>
    <row r="480" spans="1:54" x14ac:dyDescent="0.2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0"/>
      <c r="AK480" s="30"/>
      <c r="AL480" s="30"/>
      <c r="AM480" s="30"/>
      <c r="AN480" s="30"/>
      <c r="AO480" s="30"/>
      <c r="AP480" s="30"/>
      <c r="AQ480" s="30"/>
      <c r="AR480" s="30"/>
      <c r="AS480" s="30"/>
      <c r="AT480" s="30"/>
      <c r="AU480" s="30"/>
      <c r="AV480" s="30"/>
      <c r="AW480" s="30"/>
      <c r="AX480" s="30"/>
      <c r="AY480" s="30"/>
      <c r="AZ480" s="30"/>
      <c r="BA480" s="30"/>
      <c r="BB480" s="30"/>
    </row>
    <row r="481" spans="1:54" x14ac:dyDescent="0.2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  <c r="AJ481" s="30"/>
      <c r="AK481" s="30"/>
      <c r="AL481" s="30"/>
      <c r="AM481" s="30"/>
      <c r="AN481" s="30"/>
      <c r="AO481" s="30"/>
      <c r="AP481" s="30"/>
      <c r="AQ481" s="30"/>
      <c r="AR481" s="30"/>
      <c r="AS481" s="30"/>
      <c r="AT481" s="30"/>
      <c r="AU481" s="30"/>
      <c r="AV481" s="30"/>
      <c r="AW481" s="30"/>
      <c r="AX481" s="30"/>
      <c r="AY481" s="30"/>
      <c r="AZ481" s="30"/>
      <c r="BA481" s="30"/>
      <c r="BB481" s="30"/>
    </row>
    <row r="482" spans="1:54" x14ac:dyDescent="0.2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  <c r="AJ482" s="30"/>
      <c r="AK482" s="30"/>
      <c r="AL482" s="30"/>
      <c r="AM482" s="30"/>
      <c r="AN482" s="30"/>
      <c r="AO482" s="30"/>
      <c r="AP482" s="30"/>
      <c r="AQ482" s="30"/>
      <c r="AR482" s="30"/>
      <c r="AS482" s="30"/>
      <c r="AT482" s="30"/>
      <c r="AU482" s="30"/>
      <c r="AV482" s="30"/>
      <c r="AW482" s="30"/>
      <c r="AX482" s="30"/>
      <c r="AY482" s="30"/>
      <c r="AZ482" s="30"/>
      <c r="BA482" s="30"/>
      <c r="BB482" s="30"/>
    </row>
    <row r="483" spans="1:54" x14ac:dyDescent="0.2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  <c r="AJ483" s="30"/>
      <c r="AK483" s="30"/>
      <c r="AL483" s="30"/>
      <c r="AM483" s="30"/>
      <c r="AN483" s="30"/>
      <c r="AO483" s="30"/>
      <c r="AP483" s="30"/>
      <c r="AQ483" s="30"/>
      <c r="AR483" s="30"/>
      <c r="AS483" s="30"/>
      <c r="AT483" s="30"/>
      <c r="AU483" s="30"/>
      <c r="AV483" s="30"/>
      <c r="AW483" s="30"/>
      <c r="AX483" s="30"/>
      <c r="AY483" s="30"/>
      <c r="AZ483" s="30"/>
      <c r="BA483" s="30"/>
      <c r="BB483" s="3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Sample Size for Mean</vt:lpstr>
      <vt:lpstr>Sample Size for Std. Dev.</vt:lpstr>
      <vt:lpstr>Sample Size for P(defective)</vt:lpstr>
      <vt:lpstr>Sample Size for DPU (defects)</vt:lpstr>
      <vt:lpstr>Proving MTBF</vt:lpstr>
    </vt:vector>
  </TitlesOfParts>
  <Company>Thomas A. Little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A. Little</dc:creator>
  <cp:lastModifiedBy>Paul</cp:lastModifiedBy>
  <dcterms:created xsi:type="dcterms:W3CDTF">2002-04-03T23:44:52Z</dcterms:created>
  <dcterms:modified xsi:type="dcterms:W3CDTF">2021-03-29T19:27:10Z</dcterms:modified>
</cp:coreProperties>
</file>