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2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pauldeen/Documents/GitHub/TLC-Addin/Worksheets/"/>
    </mc:Choice>
  </mc:AlternateContent>
  <xr:revisionPtr revIDLastSave="0" documentId="8_{31B86F85-58C3-D340-805F-DCC5E3F4FAAF}" xr6:coauthVersionLast="36" xr6:coauthVersionMax="36" xr10:uidLastSave="{00000000-0000-0000-0000-000000000000}"/>
  <bookViews>
    <workbookView xWindow="0" yWindow="500" windowWidth="28800" windowHeight="11460" xr2:uid="{00000000-000D-0000-FFFF-FFFF00000000}"/>
  </bookViews>
  <sheets>
    <sheet name="CQAs and Limits" sheetId="3" r:id="rId1"/>
    <sheet name="Process-HW Scorecard" sheetId="2" r:id="rId2"/>
    <sheet name="Metrology Capability" sheetId="5" r:id="rId3"/>
    <sheet name="Process Development Checklist" sheetId="6" r:id="rId4"/>
  </sheets>
  <calcPr calcId="181029" concurrentCalc="0"/>
</workbook>
</file>

<file path=xl/calcChain.xml><?xml version="1.0" encoding="utf-8"?>
<calcChain xmlns="http://schemas.openxmlformats.org/spreadsheetml/2006/main">
  <c r="K31" i="3" l="1"/>
  <c r="H31" i="3"/>
  <c r="L31" i="3"/>
  <c r="K30" i="3"/>
  <c r="H30" i="3"/>
  <c r="L30" i="3"/>
  <c r="K29" i="3"/>
  <c r="H29" i="3"/>
  <c r="H71" i="3"/>
  <c r="G71" i="3"/>
  <c r="F71" i="3"/>
  <c r="E71" i="3"/>
  <c r="D71" i="3"/>
  <c r="H70" i="3"/>
  <c r="G70" i="3"/>
  <c r="F70" i="3"/>
  <c r="E70" i="3"/>
  <c r="D70" i="3"/>
  <c r="H69" i="3"/>
  <c r="G69" i="3"/>
  <c r="F69" i="3"/>
  <c r="E69" i="3"/>
  <c r="D69" i="3"/>
  <c r="H68" i="3"/>
  <c r="G68" i="3"/>
  <c r="F68" i="3"/>
  <c r="E68" i="3"/>
  <c r="D68" i="3"/>
  <c r="H67" i="3"/>
  <c r="G67" i="3"/>
  <c r="F67" i="3"/>
  <c r="E67" i="3"/>
  <c r="D67" i="3"/>
  <c r="K38" i="3"/>
  <c r="H38" i="3"/>
  <c r="K37" i="3"/>
  <c r="H37" i="3"/>
  <c r="L37" i="3"/>
  <c r="K36" i="3"/>
  <c r="H36" i="3"/>
  <c r="L36" i="3"/>
  <c r="K35" i="3"/>
  <c r="H35" i="3"/>
  <c r="L35" i="3"/>
  <c r="K34" i="3"/>
  <c r="H34" i="3"/>
  <c r="L34" i="3"/>
  <c r="K33" i="3"/>
  <c r="H33" i="3"/>
  <c r="L33" i="3"/>
  <c r="K32" i="3"/>
  <c r="H32" i="3"/>
  <c r="L32" i="3"/>
  <c r="K28" i="3"/>
  <c r="H28" i="3"/>
  <c r="L28" i="3"/>
  <c r="K27" i="3"/>
  <c r="H27" i="3"/>
  <c r="L27" i="3"/>
  <c r="K26" i="3"/>
  <c r="H26" i="3"/>
  <c r="L26" i="3"/>
  <c r="K25" i="3"/>
  <c r="H25" i="3"/>
  <c r="K24" i="3"/>
  <c r="H24" i="3"/>
  <c r="L24" i="3"/>
  <c r="K23" i="3"/>
  <c r="H23" i="3"/>
  <c r="L23" i="3"/>
  <c r="K22" i="3"/>
  <c r="H22" i="3"/>
  <c r="L22" i="3"/>
  <c r="K21" i="3"/>
  <c r="H21" i="3"/>
  <c r="K20" i="3"/>
  <c r="H20" i="3"/>
  <c r="L20" i="3"/>
  <c r="K19" i="3"/>
  <c r="H19" i="3"/>
  <c r="L19" i="3"/>
  <c r="K18" i="3"/>
  <c r="H18" i="3"/>
  <c r="L18" i="3"/>
  <c r="K17" i="3"/>
  <c r="H17" i="3"/>
  <c r="L17" i="3"/>
  <c r="K16" i="3"/>
  <c r="H16" i="3"/>
  <c r="L16" i="3"/>
  <c r="K15" i="3"/>
  <c r="H15" i="3"/>
  <c r="L15" i="3"/>
  <c r="K14" i="3"/>
  <c r="H14" i="3"/>
  <c r="L14" i="3"/>
  <c r="K13" i="3"/>
  <c r="H13" i="3"/>
  <c r="L13" i="3"/>
  <c r="K12" i="3"/>
  <c r="H12" i="3"/>
  <c r="L12" i="3"/>
  <c r="K11" i="3"/>
  <c r="H11" i="3"/>
  <c r="K10" i="3"/>
  <c r="H10" i="3"/>
  <c r="L10" i="3"/>
  <c r="K9" i="3"/>
  <c r="H9" i="3"/>
  <c r="L9" i="3"/>
  <c r="K8" i="3"/>
  <c r="H8" i="3"/>
  <c r="L8" i="3"/>
  <c r="L21" i="3"/>
  <c r="L11" i="3"/>
  <c r="L25" i="3"/>
  <c r="K7" i="2"/>
  <c r="R7" i="2"/>
  <c r="R8" i="2"/>
  <c r="N8" i="2"/>
  <c r="R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K6" i="2"/>
  <c r="M6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7" i="2"/>
  <c r="V6" i="2"/>
  <c r="R10" i="2"/>
  <c r="M11" i="2"/>
  <c r="M12" i="2"/>
  <c r="K13" i="2"/>
  <c r="R13" i="2"/>
  <c r="K14" i="2"/>
  <c r="M14" i="2"/>
  <c r="K15" i="2"/>
  <c r="R15" i="2"/>
  <c r="K16" i="2"/>
  <c r="M16" i="2"/>
  <c r="R16" i="2"/>
  <c r="K17" i="2"/>
  <c r="R17" i="2"/>
  <c r="K18" i="2"/>
  <c r="M18" i="2"/>
  <c r="R18" i="2"/>
  <c r="K19" i="2"/>
  <c r="M19" i="2"/>
  <c r="K20" i="2"/>
  <c r="M20" i="2"/>
  <c r="K21" i="2"/>
  <c r="M21" i="2"/>
  <c r="K22" i="2"/>
  <c r="R22" i="2"/>
  <c r="M22" i="2"/>
  <c r="K23" i="2"/>
  <c r="M23" i="2"/>
  <c r="R23" i="2"/>
  <c r="K24" i="2"/>
  <c r="M24" i="2"/>
  <c r="R24" i="2"/>
  <c r="K25" i="2"/>
  <c r="M25" i="2"/>
  <c r="R25" i="2"/>
  <c r="K26" i="2"/>
  <c r="M26" i="2"/>
  <c r="R26" i="2"/>
  <c r="K27" i="2"/>
  <c r="M27" i="2"/>
  <c r="K28" i="2"/>
  <c r="M28" i="2"/>
  <c r="K29" i="2"/>
  <c r="M29" i="2"/>
  <c r="K30" i="2"/>
  <c r="M30" i="2"/>
  <c r="K31" i="2"/>
  <c r="R31" i="2"/>
  <c r="K32" i="2"/>
  <c r="R32" i="2"/>
  <c r="K33" i="2"/>
  <c r="R33" i="2"/>
  <c r="K34" i="2"/>
  <c r="M34" i="2"/>
  <c r="R34" i="2"/>
  <c r="K35" i="2"/>
  <c r="M35" i="2"/>
  <c r="K36" i="2"/>
  <c r="M36" i="2"/>
  <c r="K37" i="2"/>
  <c r="M37" i="2"/>
  <c r="K38" i="2"/>
  <c r="M38" i="2"/>
  <c r="K39" i="2"/>
  <c r="M39" i="2"/>
  <c r="R39" i="2"/>
  <c r="K40" i="2"/>
  <c r="M40" i="2"/>
  <c r="R40" i="2"/>
  <c r="K41" i="2"/>
  <c r="R41" i="2"/>
  <c r="K42" i="2"/>
  <c r="M42" i="2"/>
  <c r="R42" i="2"/>
  <c r="K43" i="2"/>
  <c r="M43" i="2"/>
  <c r="R6" i="2"/>
  <c r="M10" i="2"/>
  <c r="N9" i="2"/>
  <c r="M9" i="2"/>
  <c r="R38" i="2"/>
  <c r="R30" i="2"/>
  <c r="M41" i="2"/>
  <c r="M33" i="2"/>
  <c r="M17" i="2"/>
  <c r="R37" i="2"/>
  <c r="R29" i="2"/>
  <c r="R21" i="2"/>
  <c r="M32" i="2"/>
  <c r="R36" i="2"/>
  <c r="R28" i="2"/>
  <c r="R20" i="2"/>
  <c r="R12" i="2"/>
  <c r="M31" i="2"/>
  <c r="M15" i="2"/>
  <c r="R43" i="2"/>
  <c r="R35" i="2"/>
  <c r="R27" i="2"/>
  <c r="R19" i="2"/>
  <c r="R11" i="2"/>
  <c r="M13" i="2"/>
  <c r="M8" i="2"/>
  <c r="L38" i="3"/>
  <c r="L29" i="3"/>
  <c r="N6" i="2"/>
  <c r="M7" i="2"/>
  <c r="R14" i="2"/>
  <c r="R44" i="2"/>
  <c r="N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Deen</author>
  </authors>
  <commentList>
    <comment ref="C7" authorId="0" shapeId="0" xr:uid="{00000000-0006-0000-0200-000001000000}">
      <text>
        <r>
          <rPr>
            <b/>
            <sz val="9"/>
            <color indexed="81"/>
            <rFont val="Tahoma"/>
            <charset val="1"/>
          </rPr>
          <t>Paul Deen:</t>
        </r>
        <r>
          <rPr>
            <sz val="9"/>
            <color indexed="81"/>
            <rFont val="Tahoma"/>
            <charset val="1"/>
          </rPr>
          <t xml:space="preserve">
What are you going to measure? (Thin film, Thick film, small dimmension, roughness)</t>
        </r>
      </text>
    </comment>
    <comment ref="F7" authorId="0" shapeId="0" xr:uid="{00000000-0006-0000-0200-000002000000}">
      <text>
        <r>
          <rPr>
            <b/>
            <sz val="9"/>
            <color indexed="81"/>
            <rFont val="Tahoma"/>
            <charset val="1"/>
          </rPr>
          <t>Paul Deen:</t>
        </r>
        <r>
          <rPr>
            <sz val="9"/>
            <color indexed="81"/>
            <rFont val="Tahoma"/>
            <charset val="1"/>
          </rPr>
          <t xml:space="preserve">
How do you have to adjust the instrument to measure it? (Recipe, fixture, jigs)</t>
        </r>
      </text>
    </comment>
  </commentList>
</comments>
</file>

<file path=xl/sharedStrings.xml><?xml version="1.0" encoding="utf-8"?>
<sst xmlns="http://schemas.openxmlformats.org/spreadsheetml/2006/main" count="379" uniqueCount="234">
  <si>
    <t>Product</t>
  </si>
  <si>
    <t>Date</t>
  </si>
  <si>
    <t>LSL</t>
  </si>
  <si>
    <t>USL</t>
  </si>
  <si>
    <t>Mean</t>
  </si>
  <si>
    <t>Stdev</t>
  </si>
  <si>
    <t>Unit(s)</t>
  </si>
  <si>
    <t>Predicted PPM</t>
  </si>
  <si>
    <t>Variation Understanding</t>
  </si>
  <si>
    <t>Number of Failures/Defects</t>
  </si>
  <si>
    <t>PPM Actual</t>
  </si>
  <si>
    <t>Measurement Variation (1 stdev)</t>
  </si>
  <si>
    <t>Process Variation (1 stdev)</t>
  </si>
  <si>
    <t>Total Variation (1 stdev)</t>
  </si>
  <si>
    <t>Where?</t>
  </si>
  <si>
    <t>Final PPM</t>
  </si>
  <si>
    <t>Yes</t>
  </si>
  <si>
    <t>Screening Potential?</t>
  </si>
  <si>
    <t>No</t>
  </si>
  <si>
    <t>Functional Test</t>
  </si>
  <si>
    <t>AVI</t>
  </si>
  <si>
    <t>VM inspect</t>
  </si>
  <si>
    <t>Product PPM</t>
  </si>
  <si>
    <t>Parameter Name</t>
  </si>
  <si>
    <t>Material Variation (1 stdev)</t>
  </si>
  <si>
    <t>Out of Spec Risk</t>
  </si>
  <si>
    <t>No Screening</t>
  </si>
  <si>
    <t>Screening Effectiveness</t>
  </si>
  <si>
    <t>Screening/Test</t>
  </si>
  <si>
    <t xml:space="preserve"> Design Segment, Process or Material</t>
  </si>
  <si>
    <t>Lead Engineer</t>
  </si>
  <si>
    <t>Generalized Cpk</t>
  </si>
  <si>
    <t>© Thomas A. Little Consulting 2015</t>
  </si>
  <si>
    <t>CQA? (Yes/No)</t>
  </si>
  <si>
    <t>Design Feature or Process Step</t>
  </si>
  <si>
    <t>Thermal Control</t>
  </si>
  <si>
    <t>Pressure Control</t>
  </si>
  <si>
    <t>Flow Control</t>
  </si>
  <si>
    <t>Temperature</t>
  </si>
  <si>
    <t>Pressure</t>
  </si>
  <si>
    <t>Torr</t>
  </si>
  <si>
    <t>°C</t>
  </si>
  <si>
    <t>Qty/Cycles Evaluated</t>
  </si>
  <si>
    <t>Rev 2.3</t>
  </si>
  <si>
    <t>Rev Date: 5/9/2016</t>
  </si>
  <si>
    <t>Product:</t>
  </si>
  <si>
    <t>Product Development Team Leader:</t>
  </si>
  <si>
    <t>Quality Attribute Definitions and Understanding</t>
  </si>
  <si>
    <t>Quality Attribute Risk Assessment</t>
  </si>
  <si>
    <t>CQAs Only</t>
  </si>
  <si>
    <t>Attribute Number</t>
  </si>
  <si>
    <t>Prior Knowledge</t>
  </si>
  <si>
    <r>
      <rPr>
        <b/>
        <sz val="12"/>
        <color indexed="21"/>
        <rFont val="Arial"/>
        <family val="2"/>
      </rPr>
      <t>QA</t>
    </r>
    <r>
      <rPr>
        <b/>
        <sz val="11"/>
        <color indexed="21"/>
        <rFont val="Arial"/>
        <family val="2"/>
      </rPr>
      <t xml:space="preserve"> </t>
    </r>
    <r>
      <rPr>
        <b/>
        <sz val="12"/>
        <color indexed="21"/>
        <rFont val="Arial"/>
        <family val="2"/>
      </rPr>
      <t xml:space="preserve">Risk </t>
    </r>
    <r>
      <rPr>
        <b/>
        <sz val="11"/>
        <color indexed="21"/>
        <rFont val="Arial"/>
        <family val="2"/>
      </rPr>
      <t xml:space="preserve"> </t>
    </r>
    <r>
      <rPr>
        <b/>
        <sz val="9"/>
        <color indexed="21"/>
        <rFont val="Arial"/>
        <family val="2"/>
      </rPr>
      <t>(worst Case)</t>
    </r>
  </si>
  <si>
    <t>CQA Status</t>
  </si>
  <si>
    <t>Rationale</t>
  </si>
  <si>
    <t xml:space="preserve">Target </t>
  </si>
  <si>
    <t>Quality Attribute Upper Limit</t>
  </si>
  <si>
    <t>Quality Attribute Lower Limit</t>
  </si>
  <si>
    <t>Accuracy</t>
  </si>
  <si>
    <t>Repeatability</t>
  </si>
  <si>
    <t>Intermediate Precision</t>
  </si>
  <si>
    <t>Specificity</t>
  </si>
  <si>
    <t>LOD</t>
  </si>
  <si>
    <t>LLOQ</t>
  </si>
  <si>
    <t>ULOQ</t>
  </si>
  <si>
    <t>Linearity</t>
  </si>
  <si>
    <t>Range</t>
  </si>
  <si>
    <t>Robustness/Ruggedness</t>
  </si>
  <si>
    <t>? Priority score</t>
  </si>
  <si>
    <t>Actions</t>
  </si>
  <si>
    <t>Control Strategy</t>
  </si>
  <si>
    <t>Notes/Comments</t>
  </si>
  <si>
    <t>CQA</t>
  </si>
  <si>
    <t>Release test only (pass/fail)</t>
  </si>
  <si>
    <t>Characterization only during Dev</t>
  </si>
  <si>
    <t>similar to previously developed product attribute</t>
  </si>
  <si>
    <t>Risk Analysis Definitions</t>
  </si>
  <si>
    <t>Safety Influence</t>
  </si>
  <si>
    <t>Risk Ranking</t>
  </si>
  <si>
    <t>Influence</t>
  </si>
  <si>
    <t>Very High</t>
  </si>
  <si>
    <t>High</t>
  </si>
  <si>
    <t>Moderate</t>
  </si>
  <si>
    <t>Low</t>
  </si>
  <si>
    <t>Very Low</t>
  </si>
  <si>
    <t xml:space="preserve"> Uncertainty</t>
  </si>
  <si>
    <t>Uncertainty</t>
  </si>
  <si>
    <t>Uncertainty Description</t>
  </si>
  <si>
    <t>No information, nor basis for estimation</t>
  </si>
  <si>
    <t>Risk Ranking for Influence and Uncertainty</t>
  </si>
  <si>
    <t>Characterization Only</t>
  </si>
  <si>
    <t>Not Included for Development</t>
  </si>
  <si>
    <t>Cannot measure must control</t>
  </si>
  <si>
    <t>Can characterize and control</t>
  </si>
  <si>
    <t>Can measure and closed loop control</t>
  </si>
  <si>
    <t>Product or Process Critical Quality Attributes</t>
  </si>
  <si>
    <t>Product or Process Requirement</t>
  </si>
  <si>
    <t>Measurement or Test Method</t>
  </si>
  <si>
    <t>Film Properties</t>
  </si>
  <si>
    <t>HW or Equipment Requirements</t>
  </si>
  <si>
    <t>Prior Knowledge/Experience</t>
  </si>
  <si>
    <t>Stability/Reliability</t>
  </si>
  <si>
    <t>Equipment Control System</t>
  </si>
  <si>
    <t>Measurement or Test External to the process</t>
  </si>
  <si>
    <t>Recipe controls the CQA</t>
  </si>
  <si>
    <t>CQA may indirectly link to tool safety issues</t>
  </si>
  <si>
    <t>CQA may link to system alarms and limits</t>
  </si>
  <si>
    <t>CQA has little correlation to safety issues and alarms</t>
  </si>
  <si>
    <t>CQA has no relationship to safety issues</t>
  </si>
  <si>
    <t>CQA may directly cause safety event</t>
  </si>
  <si>
    <t>First order principles of physics or chemistry</t>
  </si>
  <si>
    <t>In-house experience from other tools/equipment</t>
  </si>
  <si>
    <t>In-house experience from application specific tools/equipment</t>
  </si>
  <si>
    <t>Well characterized product/process and or no possible relationship to CQA</t>
  </si>
  <si>
    <t>Well characterized product/process</t>
  </si>
  <si>
    <t>No ability to meet CQA requirements</t>
  </si>
  <si>
    <t>50% chance of meeting CQA requirements</t>
  </si>
  <si>
    <t>100% chance of meeting CQA requirements</t>
  </si>
  <si>
    <t>99% chance of meeting CQA requirements</t>
  </si>
  <si>
    <t>80% chance of meeting CQA requirements</t>
  </si>
  <si>
    <t>© Thomas A. Little Consulting 2015-2016</t>
  </si>
  <si>
    <t>System Controls or Software Requirements</t>
  </si>
  <si>
    <t>Material Handling or Interface requirements</t>
  </si>
  <si>
    <t>Relationship to Other CQAs?</t>
  </si>
  <si>
    <r>
      <rPr>
        <b/>
        <sz val="12"/>
        <color indexed="21"/>
        <rFont val="Arial"/>
        <family val="2"/>
      </rPr>
      <t>Safety (EHS)</t>
    </r>
    <r>
      <rPr>
        <b/>
        <sz val="10"/>
        <color indexed="21"/>
        <rFont val="Arial"/>
        <family val="2"/>
      </rPr>
      <t xml:space="preserve"> </t>
    </r>
    <r>
      <rPr>
        <b/>
        <sz val="9"/>
        <color indexed="21"/>
        <rFont val="Arial"/>
        <family val="2"/>
      </rPr>
      <t>Influence</t>
    </r>
  </si>
  <si>
    <r>
      <rPr>
        <b/>
        <sz val="12"/>
        <color indexed="21"/>
        <rFont val="Arial"/>
        <family val="2"/>
      </rPr>
      <t>Safety (EHS)</t>
    </r>
    <r>
      <rPr>
        <b/>
        <sz val="10"/>
        <color indexed="21"/>
        <rFont val="Arial"/>
        <family val="2"/>
      </rPr>
      <t xml:space="preserve"> </t>
    </r>
    <r>
      <rPr>
        <b/>
        <sz val="9"/>
        <color indexed="21"/>
        <rFont val="Arial"/>
        <family val="2"/>
      </rPr>
      <t>Uncertainty</t>
    </r>
  </si>
  <si>
    <r>
      <rPr>
        <b/>
        <sz val="12"/>
        <color indexed="21"/>
        <rFont val="Arial"/>
        <family val="2"/>
      </rPr>
      <t>Safety</t>
    </r>
    <r>
      <rPr>
        <b/>
        <sz val="11"/>
        <color indexed="21"/>
        <rFont val="Arial"/>
        <family val="2"/>
      </rPr>
      <t xml:space="preserve"> (EHS) Risk Score</t>
    </r>
  </si>
  <si>
    <t>Goal</t>
  </si>
  <si>
    <t>Maximize</t>
  </si>
  <si>
    <t>Minimize</t>
  </si>
  <si>
    <t>Match Target</t>
  </si>
  <si>
    <t>None</t>
  </si>
  <si>
    <t>Customers:</t>
  </si>
  <si>
    <t>Market Segment:</t>
  </si>
  <si>
    <t>Project Start Date:</t>
  </si>
  <si>
    <t>Measures of Cost / Productivity or Rate</t>
  </si>
  <si>
    <t>EHS Requirements</t>
  </si>
  <si>
    <t>Product or Process Critical Quality Attributes (CQA)</t>
  </si>
  <si>
    <r>
      <rPr>
        <b/>
        <sz val="12"/>
        <color indexed="21"/>
        <rFont val="Arial"/>
        <family val="2"/>
      </rPr>
      <t>Effectiveness</t>
    </r>
    <r>
      <rPr>
        <b/>
        <sz val="10"/>
        <color indexed="21"/>
        <rFont val="Arial"/>
        <family val="2"/>
      </rPr>
      <t xml:space="preserve"> </t>
    </r>
    <r>
      <rPr>
        <b/>
        <sz val="9"/>
        <color indexed="21"/>
        <rFont val="Arial"/>
        <family val="2"/>
      </rPr>
      <t>Influence</t>
    </r>
  </si>
  <si>
    <r>
      <rPr>
        <b/>
        <sz val="12"/>
        <color indexed="21"/>
        <rFont val="Arial"/>
        <family val="2"/>
      </rPr>
      <t>Effectiveness</t>
    </r>
    <r>
      <rPr>
        <b/>
        <sz val="10"/>
        <color indexed="21"/>
        <rFont val="Arial"/>
        <family val="2"/>
      </rPr>
      <t xml:space="preserve"> </t>
    </r>
    <r>
      <rPr>
        <b/>
        <sz val="9"/>
        <color indexed="21"/>
        <rFont val="Arial"/>
        <family val="2"/>
      </rPr>
      <t>Uncertainty</t>
    </r>
  </si>
  <si>
    <r>
      <rPr>
        <b/>
        <sz val="12"/>
        <color indexed="21"/>
        <rFont val="Arial"/>
        <family val="2"/>
      </rPr>
      <t>Effectiveness</t>
    </r>
    <r>
      <rPr>
        <b/>
        <sz val="11"/>
        <color indexed="21"/>
        <rFont val="Arial"/>
        <family val="2"/>
      </rPr>
      <t xml:space="preserve"> Risk Score</t>
    </r>
  </si>
  <si>
    <t>Effectiveness Influence</t>
  </si>
  <si>
    <t>Effectiveness Influence Description</t>
  </si>
  <si>
    <t>Metrology Capability</t>
  </si>
  <si>
    <t>Location:</t>
  </si>
  <si>
    <t>Metrology Owner:</t>
  </si>
  <si>
    <t>Last update:</t>
  </si>
  <si>
    <t>Metrology Instrument</t>
  </si>
  <si>
    <t>Maturity</t>
  </si>
  <si>
    <t>MSA + Standards + Control</t>
  </si>
  <si>
    <t>Recipe 1</t>
  </si>
  <si>
    <t>MSA results</t>
  </si>
  <si>
    <t>Oxide Film 1</t>
  </si>
  <si>
    <t>Recipe 2</t>
  </si>
  <si>
    <t>Not available</t>
  </si>
  <si>
    <t>Developed</t>
  </si>
  <si>
    <t xml:space="preserve">MSA + Standards </t>
  </si>
  <si>
    <t>Metrology Definition</t>
  </si>
  <si>
    <t>Bias Error (units)</t>
  </si>
  <si>
    <t>Ellipsometer</t>
  </si>
  <si>
    <t>XRR</t>
  </si>
  <si>
    <t>Developed + Standards</t>
  </si>
  <si>
    <t>Measurement Maturity</t>
  </si>
  <si>
    <t>Standard Value</t>
  </si>
  <si>
    <t>Standard ID</t>
  </si>
  <si>
    <t>1 Stdev Measurement Error (precision or repeatability)</t>
  </si>
  <si>
    <t>CMM</t>
  </si>
  <si>
    <t>X axis error</t>
  </si>
  <si>
    <t>Y axis error</t>
  </si>
  <si>
    <t>Z axis error</t>
  </si>
  <si>
    <t>% GRR (P/T Ratio) or % Margin or % Mean</t>
  </si>
  <si>
    <t>Bias Error % of Tolerance, Margin or Mean</t>
  </si>
  <si>
    <t>Linearity Slope</t>
  </si>
  <si>
    <t>% Linearity of Tolerance, Margin or Mean</t>
  </si>
  <si>
    <t>Customer or Internal Spec Limits</t>
  </si>
  <si>
    <t>Upper Spec Limit</t>
  </si>
  <si>
    <t>Lower Spec Limit</t>
  </si>
  <si>
    <t>Application (films or measurements)</t>
  </si>
  <si>
    <t>Composition</t>
  </si>
  <si>
    <t>Measurement or Test Method Definition or Recipe</t>
  </si>
  <si>
    <t>Max Inner</t>
  </si>
  <si>
    <t>Max Outer</t>
  </si>
  <si>
    <t>Min Inner</t>
  </si>
  <si>
    <t>Min Outer</t>
  </si>
  <si>
    <t>Detailed Customer Requirements</t>
  </si>
  <si>
    <t>Factor Response Matrix</t>
  </si>
  <si>
    <t>Responses</t>
  </si>
  <si>
    <t>Status</t>
  </si>
  <si>
    <t xml:space="preserve"> </t>
  </si>
  <si>
    <t>Factors</t>
  </si>
  <si>
    <t>Design of Experiment</t>
  </si>
  <si>
    <t>Analysis and Model Building</t>
  </si>
  <si>
    <t>Lead customer/Business Case</t>
  </si>
  <si>
    <t>Defined Goals</t>
  </si>
  <si>
    <t>Completion Date/Timeline</t>
  </si>
  <si>
    <t>Fit Model and Equation</t>
  </si>
  <si>
    <t>Evaluation of Uncontrolled Factors</t>
  </si>
  <si>
    <t>Design Space</t>
  </si>
  <si>
    <t>Edge of Failure Analysis</t>
  </si>
  <si>
    <t>Design Space, Tolerance Design and HVM Capability</t>
  </si>
  <si>
    <t>Hardware Capability</t>
  </si>
  <si>
    <t>Simulation/HVM</t>
  </si>
  <si>
    <t>Capability and PPM Prediction</t>
  </si>
  <si>
    <t>Development Report</t>
  </si>
  <si>
    <t>Process Transfer and Customer Experience</t>
  </si>
  <si>
    <t>Process Validation Runs</t>
  </si>
  <si>
    <t>Equipment Change and Model Calibration</t>
  </si>
  <si>
    <t>Hardware</t>
  </si>
  <si>
    <t>Defined Limits</t>
  </si>
  <si>
    <t>DOE Design and JMP Table</t>
  </si>
  <si>
    <t>Pending</t>
  </si>
  <si>
    <t>Planned</t>
  </si>
  <si>
    <t>Behind Schedule</t>
  </si>
  <si>
    <t>NA</t>
  </si>
  <si>
    <t>Tolerance Design and Limits</t>
  </si>
  <si>
    <t>Marathon Runs and Capability</t>
  </si>
  <si>
    <t>Process or Film</t>
  </si>
  <si>
    <t>Notes</t>
  </si>
  <si>
    <t>Development Step</t>
  </si>
  <si>
    <t>Interactions/Quadratics (Model Terms)</t>
  </si>
  <si>
    <t>Operational Ranges (Levels)</t>
  </si>
  <si>
    <t xml:space="preserve">Critical Process Parameters </t>
  </si>
  <si>
    <t>Robust Optimization (Final Recipe Set Points)</t>
  </si>
  <si>
    <t>Hardware Capability (Dist and Range) at Set Point</t>
  </si>
  <si>
    <t>Install and Qual Experience (capability)</t>
  </si>
  <si>
    <t>Customer Experience (capability)</t>
  </si>
  <si>
    <t>Metrology + Standards</t>
  </si>
  <si>
    <t>Wafer/Tool/Run Budget</t>
  </si>
  <si>
    <t>Optimization and Profiler</t>
  </si>
  <si>
    <t>Model Verification Tests (1-3)</t>
  </si>
  <si>
    <t>Pre-Experiments and Materials Screening (if any)</t>
  </si>
  <si>
    <t>Management Approval</t>
  </si>
  <si>
    <t>Customer Funded</t>
  </si>
  <si>
    <t>Internal site transfer (capability)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</si>
</sst>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0.0"/>
  </numFmts>
  <fonts count="49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1"/>
      <color indexed="21"/>
      <name val="Arial"/>
      <family val="2"/>
    </font>
    <font>
      <b/>
      <sz val="10"/>
      <color indexed="21"/>
      <name val="Arial"/>
      <family val="2"/>
    </font>
    <font>
      <b/>
      <sz val="12"/>
      <color indexed="21"/>
      <name val="Arial"/>
      <family val="2"/>
    </font>
    <font>
      <b/>
      <sz val="9"/>
      <color indexed="2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2"/>
      <color rgb="FFC00000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22"/>
      <color theme="8" tint="-0.499984740745262"/>
      <name val="Calibri"/>
      <family val="2"/>
      <scheme val="minor"/>
    </font>
    <font>
      <b/>
      <sz val="11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4" tint="-0.249977111117893"/>
      <name val="Calibri"/>
      <family val="2"/>
      <scheme val="minor"/>
    </font>
    <font>
      <sz val="8"/>
      <color theme="1"/>
      <name val="Arial"/>
      <family val="2"/>
    </font>
    <font>
      <b/>
      <sz val="11"/>
      <color theme="4" tint="-0.499984740745262"/>
      <name val="Arial"/>
      <family val="2"/>
    </font>
    <font>
      <b/>
      <sz val="10"/>
      <color theme="5" tint="-0.249977111117893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theme="0"/>
      <name val="Arial"/>
      <family val="2"/>
    </font>
    <font>
      <b/>
      <sz val="11"/>
      <color theme="5" tint="-0.499984740745262"/>
      <name val="Arial"/>
      <family val="2"/>
    </font>
    <font>
      <sz val="11"/>
      <color theme="5" tint="-0.499984740745262"/>
      <name val="Arial"/>
      <family val="2"/>
    </font>
    <font>
      <b/>
      <sz val="2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5" tint="-0.499984740745262"/>
      <name val="Arial"/>
      <family val="2"/>
    </font>
    <font>
      <b/>
      <sz val="12"/>
      <color theme="1"/>
      <name val="Arial"/>
      <family val="2"/>
    </font>
    <font>
      <b/>
      <sz val="16"/>
      <color theme="0"/>
      <name val="Arial"/>
      <family val="2"/>
    </font>
    <font>
      <sz val="8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8" tint="-0.499984740745262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8E3F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68D14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theme="4" tint="0.39994506668294322"/>
      </bottom>
      <diagonal/>
    </border>
    <border>
      <left/>
      <right style="medium">
        <color indexed="64"/>
      </right>
      <top/>
      <bottom style="thin">
        <color theme="4" tint="0.39994506668294322"/>
      </bottom>
      <diagonal/>
    </border>
    <border>
      <left/>
      <right style="medium">
        <color indexed="64"/>
      </right>
      <top style="thin">
        <color theme="4" tint="0.39994506668294322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164" fontId="12" fillId="0" borderId="0" applyFont="0" applyFill="0" applyBorder="0" applyAlignment="0" applyProtection="0"/>
    <xf numFmtId="0" fontId="9" fillId="0" borderId="0"/>
    <xf numFmtId="9" fontId="12" fillId="0" borderId="0" applyFont="0" applyFill="0" applyBorder="0" applyAlignment="0" applyProtection="0"/>
  </cellStyleXfs>
  <cellXfs count="47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2" borderId="0" xfId="0" applyFill="1" applyAlignment="1">
      <alignment horizontal="center"/>
    </xf>
    <xf numFmtId="0" fontId="2" fillId="5" borderId="0" xfId="0" applyFont="1" applyFill="1"/>
    <xf numFmtId="0" fontId="0" fillId="2" borderId="1" xfId="0" applyFill="1" applyBorder="1" applyAlignment="1">
      <alignment horizontal="center"/>
    </xf>
    <xf numFmtId="0" fontId="13" fillId="6" borderId="0" xfId="0" applyFont="1" applyFill="1"/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2" fillId="4" borderId="0" xfId="0" applyFont="1" applyFill="1"/>
    <xf numFmtId="0" fontId="13" fillId="4" borderId="0" xfId="0" applyFont="1" applyFill="1"/>
    <xf numFmtId="0" fontId="14" fillId="6" borderId="4" xfId="0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 wrapText="1"/>
    </xf>
    <xf numFmtId="166" fontId="12" fillId="2" borderId="0" xfId="3" applyNumberFormat="1" applyFont="1" applyFill="1"/>
    <xf numFmtId="0" fontId="0" fillId="4" borderId="2" xfId="0" applyFill="1" applyBorder="1" applyAlignment="1">
      <alignment horizontal="center"/>
    </xf>
    <xf numFmtId="0" fontId="14" fillId="6" borderId="5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10" fontId="12" fillId="2" borderId="7" xfId="3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6" fillId="6" borderId="8" xfId="0" applyFont="1" applyFill="1" applyBorder="1" applyAlignment="1">
      <alignment horizontal="center" vertical="center"/>
    </xf>
    <xf numFmtId="14" fontId="1" fillId="5" borderId="9" xfId="0" applyNumberFormat="1" applyFont="1" applyFill="1" applyBorder="1" applyAlignment="1"/>
    <xf numFmtId="14" fontId="1" fillId="5" borderId="10" xfId="0" applyNumberFormat="1" applyFont="1" applyFill="1" applyBorder="1" applyAlignment="1"/>
    <xf numFmtId="14" fontId="1" fillId="5" borderId="11" xfId="0" applyNumberFormat="1" applyFont="1" applyFill="1" applyBorder="1" applyAlignment="1"/>
    <xf numFmtId="0" fontId="0" fillId="5" borderId="12" xfId="0" applyFill="1" applyBorder="1"/>
    <xf numFmtId="0" fontId="0" fillId="4" borderId="13" xfId="0" applyFill="1" applyBorder="1" applyAlignment="1">
      <alignment horizontal="center" wrapText="1"/>
    </xf>
    <xf numFmtId="0" fontId="0" fillId="4" borderId="14" xfId="0" applyFill="1" applyBorder="1" applyAlignment="1">
      <alignment horizontal="center" wrapText="1"/>
    </xf>
    <xf numFmtId="0" fontId="0" fillId="4" borderId="15" xfId="0" applyFill="1" applyBorder="1" applyAlignment="1">
      <alignment horizontal="center" wrapText="1"/>
    </xf>
    <xf numFmtId="0" fontId="0" fillId="5" borderId="0" xfId="0" applyFill="1" applyBorder="1"/>
    <xf numFmtId="0" fontId="0" fillId="4" borderId="16" xfId="0" applyFill="1" applyBorder="1" applyAlignment="1">
      <alignment horizontal="center" wrapText="1"/>
    </xf>
    <xf numFmtId="0" fontId="0" fillId="5" borderId="17" xfId="0" applyFill="1" applyBorder="1"/>
    <xf numFmtId="0" fontId="0" fillId="4" borderId="18" xfId="0" applyFill="1" applyBorder="1" applyAlignment="1">
      <alignment horizontal="center" wrapText="1"/>
    </xf>
    <xf numFmtId="0" fontId="0" fillId="4" borderId="19" xfId="0" applyFill="1" applyBorder="1" applyAlignment="1">
      <alignment horizontal="center" wrapText="1"/>
    </xf>
    <xf numFmtId="0" fontId="0" fillId="4" borderId="20" xfId="0" applyFill="1" applyBorder="1" applyAlignment="1">
      <alignment horizontal="center" wrapText="1"/>
    </xf>
    <xf numFmtId="0" fontId="17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6" fontId="12" fillId="7" borderId="1" xfId="3" applyNumberFormat="1" applyFont="1" applyFill="1" applyBorder="1" applyAlignment="1">
      <alignment horizontal="center"/>
    </xf>
    <xf numFmtId="10" fontId="0" fillId="7" borderId="5" xfId="0" applyNumberFormat="1" applyFill="1" applyBorder="1" applyAlignment="1">
      <alignment horizontal="center"/>
    </xf>
    <xf numFmtId="10" fontId="0" fillId="7" borderId="4" xfId="0" applyNumberFormat="1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18" fillId="7" borderId="1" xfId="0" applyFont="1" applyFill="1" applyBorder="1" applyAlignment="1">
      <alignment horizontal="center"/>
    </xf>
    <xf numFmtId="0" fontId="0" fillId="7" borderId="4" xfId="0" applyFont="1" applyFill="1" applyBorder="1" applyAlignment="1">
      <alignment horizontal="center"/>
    </xf>
    <xf numFmtId="14" fontId="19" fillId="5" borderId="10" xfId="0" applyNumberFormat="1" applyFont="1" applyFill="1" applyBorder="1" applyAlignment="1">
      <alignment horizontal="left"/>
    </xf>
    <xf numFmtId="0" fontId="18" fillId="7" borderId="4" xfId="0" applyFont="1" applyFill="1" applyBorder="1" applyAlignment="1">
      <alignment horizontal="center"/>
    </xf>
    <xf numFmtId="14" fontId="20" fillId="8" borderId="22" xfId="0" applyNumberFormat="1" applyFont="1" applyFill="1" applyBorder="1" applyAlignment="1">
      <alignment horizontal="center" wrapText="1"/>
    </xf>
    <xf numFmtId="14" fontId="20" fillId="8" borderId="22" xfId="0" applyNumberFormat="1" applyFont="1" applyFill="1" applyBorder="1" applyAlignment="1">
      <alignment horizontal="center"/>
    </xf>
    <xf numFmtId="0" fontId="14" fillId="6" borderId="23" xfId="0" applyFont="1" applyFill="1" applyBorder="1" applyAlignment="1">
      <alignment horizontal="center" vertical="center" wrapText="1"/>
    </xf>
    <xf numFmtId="10" fontId="0" fillId="7" borderId="23" xfId="0" applyNumberFormat="1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16" fillId="9" borderId="8" xfId="0" applyFont="1" applyFill="1" applyBorder="1" applyAlignment="1">
      <alignment horizontal="center" vertical="center" wrapText="1"/>
    </xf>
    <xf numFmtId="165" fontId="0" fillId="7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37" fontId="12" fillId="2" borderId="1" xfId="1" applyNumberFormat="1" applyFont="1" applyFill="1" applyBorder="1" applyAlignment="1"/>
    <xf numFmtId="14" fontId="19" fillId="5" borderId="25" xfId="0" applyNumberFormat="1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left" wrapText="1"/>
    </xf>
    <xf numFmtId="0" fontId="21" fillId="4" borderId="0" xfId="0" applyFont="1" applyFill="1" applyAlignment="1">
      <alignment horizontal="left" vertical="center" wrapText="1"/>
    </xf>
    <xf numFmtId="0" fontId="21" fillId="4" borderId="0" xfId="0" applyFont="1" applyFill="1" applyAlignment="1">
      <alignment horizontal="center" vertical="center" wrapText="1"/>
    </xf>
    <xf numFmtId="0" fontId="21" fillId="4" borderId="0" xfId="0" applyFont="1" applyFill="1" applyAlignment="1">
      <alignment horizontal="center" wrapText="1"/>
    </xf>
    <xf numFmtId="0" fontId="21" fillId="4" borderId="0" xfId="0" applyFont="1" applyFill="1" applyAlignment="1">
      <alignment horizontal="left"/>
    </xf>
    <xf numFmtId="0" fontId="21" fillId="0" borderId="0" xfId="0" applyFont="1" applyFill="1"/>
    <xf numFmtId="0" fontId="21" fillId="4" borderId="0" xfId="0" applyFont="1" applyFill="1" applyAlignment="1">
      <alignment wrapText="1"/>
    </xf>
    <xf numFmtId="0" fontId="22" fillId="7" borderId="15" xfId="0" applyFont="1" applyFill="1" applyBorder="1" applyAlignment="1">
      <alignment vertical="center"/>
    </xf>
    <xf numFmtId="0" fontId="21" fillId="4" borderId="26" xfId="0" applyFont="1" applyFill="1" applyBorder="1" applyAlignment="1">
      <alignment horizontal="center" vertical="center" wrapText="1"/>
    </xf>
    <xf numFmtId="0" fontId="23" fillId="10" borderId="27" xfId="0" applyFont="1" applyFill="1" applyBorder="1" applyAlignment="1">
      <alignment horizontal="center" vertical="center" wrapText="1"/>
    </xf>
    <xf numFmtId="0" fontId="23" fillId="10" borderId="28" xfId="0" applyFont="1" applyFill="1" applyBorder="1" applyAlignment="1">
      <alignment horizontal="center" vertical="center" wrapText="1"/>
    </xf>
    <xf numFmtId="0" fontId="23" fillId="10" borderId="29" xfId="0" applyFont="1" applyFill="1" applyBorder="1" applyAlignment="1">
      <alignment horizontal="center" vertical="center" wrapText="1"/>
    </xf>
    <xf numFmtId="0" fontId="23" fillId="7" borderId="30" xfId="0" applyFont="1" applyFill="1" applyBorder="1" applyAlignment="1">
      <alignment horizontal="center" vertical="center" wrapText="1"/>
    </xf>
    <xf numFmtId="0" fontId="24" fillId="7" borderId="31" xfId="0" applyFont="1" applyFill="1" applyBorder="1" applyAlignment="1">
      <alignment horizontal="center" vertical="center" wrapText="1"/>
    </xf>
    <xf numFmtId="0" fontId="23" fillId="7" borderId="20" xfId="0" applyFont="1" applyFill="1" applyBorder="1" applyAlignment="1">
      <alignment horizontal="center" vertical="center" wrapText="1"/>
    </xf>
    <xf numFmtId="0" fontId="24" fillId="11" borderId="32" xfId="0" applyFont="1" applyFill="1" applyBorder="1" applyAlignment="1">
      <alignment horizontal="center" vertical="center" wrapText="1"/>
    </xf>
    <xf numFmtId="0" fontId="24" fillId="11" borderId="30" xfId="0" applyFont="1" applyFill="1" applyBorder="1" applyAlignment="1">
      <alignment horizontal="center" vertical="center" wrapText="1"/>
    </xf>
    <xf numFmtId="0" fontId="24" fillId="11" borderId="30" xfId="0" applyFont="1" applyFill="1" applyBorder="1" applyAlignment="1">
      <alignment textRotation="90" wrapText="1"/>
    </xf>
    <xf numFmtId="0" fontId="24" fillId="11" borderId="30" xfId="0" applyFont="1" applyFill="1" applyBorder="1" applyAlignment="1">
      <alignment wrapText="1"/>
    </xf>
    <xf numFmtId="0" fontId="24" fillId="11" borderId="33" xfId="0" applyFont="1" applyFill="1" applyBorder="1" applyAlignment="1">
      <alignment horizontal="center" vertical="center" wrapText="1"/>
    </xf>
    <xf numFmtId="0" fontId="25" fillId="4" borderId="34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 vertical="center"/>
    </xf>
    <xf numFmtId="0" fontId="24" fillId="4" borderId="35" xfId="0" applyFont="1" applyFill="1" applyBorder="1" applyAlignment="1">
      <alignment horizontal="left" wrapText="1"/>
    </xf>
    <xf numFmtId="0" fontId="21" fillId="4" borderId="36" xfId="0" applyFont="1" applyFill="1" applyBorder="1" applyAlignment="1">
      <alignment horizontal="left" wrapText="1"/>
    </xf>
    <xf numFmtId="0" fontId="21" fillId="4" borderId="35" xfId="0" applyFont="1" applyFill="1" applyBorder="1" applyAlignment="1">
      <alignment horizontal="center" wrapText="1"/>
    </xf>
    <xf numFmtId="0" fontId="21" fillId="4" borderId="13" xfId="0" applyFont="1" applyFill="1" applyBorder="1" applyAlignment="1">
      <alignment horizontal="center" wrapText="1"/>
    </xf>
    <xf numFmtId="0" fontId="21" fillId="4" borderId="37" xfId="0" applyFont="1" applyFill="1" applyBorder="1" applyAlignment="1">
      <alignment horizontal="center" wrapText="1"/>
    </xf>
    <xf numFmtId="0" fontId="21" fillId="4" borderId="38" xfId="0" applyFont="1" applyFill="1" applyBorder="1" applyAlignment="1">
      <alignment horizontal="center" wrapText="1"/>
    </xf>
    <xf numFmtId="0" fontId="21" fillId="4" borderId="36" xfId="0" applyFont="1" applyFill="1" applyBorder="1" applyAlignment="1">
      <alignment horizontal="center" wrapText="1"/>
    </xf>
    <xf numFmtId="0" fontId="21" fillId="4" borderId="36" xfId="0" applyFont="1" applyFill="1" applyBorder="1" applyAlignment="1">
      <alignment horizontal="left"/>
    </xf>
    <xf numFmtId="0" fontId="21" fillId="4" borderId="36" xfId="0" applyFont="1" applyFill="1" applyBorder="1" applyAlignment="1">
      <alignment horizontal="center" vertical="center" wrapText="1"/>
    </xf>
    <xf numFmtId="0" fontId="21" fillId="4" borderId="36" xfId="0" applyFont="1" applyFill="1" applyBorder="1"/>
    <xf numFmtId="0" fontId="21" fillId="4" borderId="39" xfId="0" applyFont="1" applyFill="1" applyBorder="1" applyAlignment="1">
      <alignment horizontal="left" wrapText="1"/>
    </xf>
    <xf numFmtId="0" fontId="21" fillId="4" borderId="15" xfId="0" applyFont="1" applyFill="1" applyBorder="1" applyAlignment="1">
      <alignment horizontal="left" wrapText="1"/>
    </xf>
    <xf numFmtId="0" fontId="0" fillId="4" borderId="64" xfId="0" applyFill="1" applyBorder="1" applyAlignment="1">
      <alignment wrapText="1"/>
    </xf>
    <xf numFmtId="0" fontId="21" fillId="12" borderId="0" xfId="0" applyFont="1" applyFill="1"/>
    <xf numFmtId="0" fontId="24" fillId="4" borderId="5" xfId="0" applyFont="1" applyFill="1" applyBorder="1" applyAlignment="1">
      <alignment horizontal="left" wrapText="1"/>
    </xf>
    <xf numFmtId="0" fontId="21" fillId="4" borderId="4" xfId="0" applyFont="1" applyFill="1" applyBorder="1" applyAlignment="1">
      <alignment horizontal="left" wrapText="1"/>
    </xf>
    <xf numFmtId="0" fontId="21" fillId="4" borderId="5" xfId="0" applyFont="1" applyFill="1" applyBorder="1" applyAlignment="1">
      <alignment horizontal="center" wrapText="1"/>
    </xf>
    <xf numFmtId="0" fontId="21" fillId="4" borderId="8" xfId="0" applyFont="1" applyFill="1" applyBorder="1" applyAlignment="1">
      <alignment horizontal="center" wrapText="1"/>
    </xf>
    <xf numFmtId="0" fontId="21" fillId="4" borderId="40" xfId="0" applyFont="1" applyFill="1" applyBorder="1" applyAlignment="1">
      <alignment horizontal="center" wrapText="1"/>
    </xf>
    <xf numFmtId="0" fontId="21" fillId="4" borderId="23" xfId="0" applyFont="1" applyFill="1" applyBorder="1" applyAlignment="1">
      <alignment horizontal="center" wrapText="1"/>
    </xf>
    <xf numFmtId="0" fontId="21" fillId="4" borderId="4" xfId="0" applyFont="1" applyFill="1" applyBorder="1" applyAlignment="1">
      <alignment horizontal="center" wrapText="1"/>
    </xf>
    <xf numFmtId="0" fontId="21" fillId="4" borderId="4" xfId="0" applyFont="1" applyFill="1" applyBorder="1" applyAlignment="1">
      <alignment horizontal="left"/>
    </xf>
    <xf numFmtId="0" fontId="21" fillId="4" borderId="4" xfId="0" applyFont="1" applyFill="1" applyBorder="1" applyAlignment="1">
      <alignment horizontal="center" vertical="center" wrapText="1"/>
    </xf>
    <xf numFmtId="0" fontId="21" fillId="4" borderId="4" xfId="0" applyFont="1" applyFill="1" applyBorder="1"/>
    <xf numFmtId="0" fontId="21" fillId="4" borderId="6" xfId="0" applyFont="1" applyFill="1" applyBorder="1" applyAlignment="1">
      <alignment horizontal="left" wrapText="1"/>
    </xf>
    <xf numFmtId="0" fontId="21" fillId="4" borderId="26" xfId="0" applyFont="1" applyFill="1" applyBorder="1" applyAlignment="1">
      <alignment horizontal="left" wrapText="1"/>
    </xf>
    <xf numFmtId="0" fontId="0" fillId="4" borderId="65" xfId="0" applyFill="1" applyBorder="1" applyAlignment="1">
      <alignment wrapText="1"/>
    </xf>
    <xf numFmtId="0" fontId="24" fillId="4" borderId="21" xfId="0" applyFont="1" applyFill="1" applyBorder="1" applyAlignment="1">
      <alignment horizontal="left" wrapText="1"/>
    </xf>
    <xf numFmtId="0" fontId="21" fillId="4" borderId="1" xfId="0" applyFont="1" applyFill="1" applyBorder="1" applyAlignment="1">
      <alignment horizontal="left" wrapText="1"/>
    </xf>
    <xf numFmtId="0" fontId="24" fillId="4" borderId="41" xfId="0" applyFont="1" applyFill="1" applyBorder="1" applyAlignment="1">
      <alignment horizontal="left" wrapText="1"/>
    </xf>
    <xf numFmtId="0" fontId="21" fillId="4" borderId="30" xfId="0" applyFont="1" applyFill="1" applyBorder="1" applyAlignment="1">
      <alignment horizontal="left" wrapText="1"/>
    </xf>
    <xf numFmtId="0" fontId="21" fillId="4" borderId="27" xfId="0" applyFont="1" applyFill="1" applyBorder="1" applyAlignment="1">
      <alignment horizontal="center" wrapText="1"/>
    </xf>
    <xf numFmtId="0" fontId="21" fillId="4" borderId="29" xfId="0" applyFont="1" applyFill="1" applyBorder="1" applyAlignment="1">
      <alignment horizontal="center" wrapText="1"/>
    </xf>
    <xf numFmtId="0" fontId="21" fillId="4" borderId="42" xfId="0" applyFont="1" applyFill="1" applyBorder="1" applyAlignment="1">
      <alignment horizontal="center" wrapText="1"/>
    </xf>
    <xf numFmtId="0" fontId="21" fillId="4" borderId="43" xfId="0" applyFont="1" applyFill="1" applyBorder="1" applyAlignment="1">
      <alignment horizontal="center" wrapText="1"/>
    </xf>
    <xf numFmtId="0" fontId="21" fillId="4" borderId="44" xfId="0" applyFont="1" applyFill="1" applyBorder="1" applyAlignment="1">
      <alignment horizontal="center" wrapText="1"/>
    </xf>
    <xf numFmtId="0" fontId="21" fillId="4" borderId="45" xfId="0" applyFont="1" applyFill="1" applyBorder="1" applyAlignment="1">
      <alignment horizontal="center" wrapText="1"/>
    </xf>
    <xf numFmtId="0" fontId="21" fillId="4" borderId="45" xfId="0" applyFont="1" applyFill="1" applyBorder="1" applyAlignment="1">
      <alignment horizontal="left"/>
    </xf>
    <xf numFmtId="0" fontId="21" fillId="4" borderId="45" xfId="0" applyFont="1" applyFill="1" applyBorder="1" applyAlignment="1">
      <alignment horizontal="center" vertical="center" wrapText="1"/>
    </xf>
    <xf numFmtId="0" fontId="21" fillId="4" borderId="45" xfId="0" applyFont="1" applyFill="1" applyBorder="1"/>
    <xf numFmtId="0" fontId="21" fillId="4" borderId="46" xfId="0" applyFont="1" applyFill="1" applyBorder="1" applyAlignment="1">
      <alignment horizontal="left" wrapText="1"/>
    </xf>
    <xf numFmtId="0" fontId="21" fillId="4" borderId="47" xfId="0" applyFont="1" applyFill="1" applyBorder="1" applyAlignment="1">
      <alignment horizontal="left" wrapText="1"/>
    </xf>
    <xf numFmtId="0" fontId="0" fillId="4" borderId="47" xfId="0" applyFill="1" applyBorder="1" applyAlignment="1">
      <alignment wrapText="1"/>
    </xf>
    <xf numFmtId="0" fontId="24" fillId="11" borderId="5" xfId="0" applyFont="1" applyFill="1" applyBorder="1" applyAlignment="1">
      <alignment horizontal="left" wrapText="1"/>
    </xf>
    <xf numFmtId="0" fontId="21" fillId="11" borderId="4" xfId="0" applyFont="1" applyFill="1" applyBorder="1" applyAlignment="1">
      <alignment horizontal="left" wrapText="1"/>
    </xf>
    <xf numFmtId="0" fontId="21" fillId="11" borderId="35" xfId="0" applyFont="1" applyFill="1" applyBorder="1" applyAlignment="1">
      <alignment horizontal="center" wrapText="1"/>
    </xf>
    <xf numFmtId="0" fontId="21" fillId="11" borderId="13" xfId="0" applyFont="1" applyFill="1" applyBorder="1" applyAlignment="1">
      <alignment horizontal="center" wrapText="1"/>
    </xf>
    <xf numFmtId="0" fontId="21" fillId="11" borderId="37" xfId="0" applyFont="1" applyFill="1" applyBorder="1" applyAlignment="1">
      <alignment horizontal="center" wrapText="1"/>
    </xf>
    <xf numFmtId="0" fontId="21" fillId="11" borderId="26" xfId="0" applyFont="1" applyFill="1" applyBorder="1" applyAlignment="1">
      <alignment horizontal="center" wrapText="1"/>
    </xf>
    <xf numFmtId="0" fontId="21" fillId="11" borderId="23" xfId="0" applyFont="1" applyFill="1" applyBorder="1" applyAlignment="1">
      <alignment horizontal="center" wrapText="1"/>
    </xf>
    <xf numFmtId="0" fontId="21" fillId="11" borderId="4" xfId="0" applyFont="1" applyFill="1" applyBorder="1" applyAlignment="1">
      <alignment horizontal="center" wrapText="1"/>
    </xf>
    <xf numFmtId="0" fontId="21" fillId="11" borderId="4" xfId="0" applyFont="1" applyFill="1" applyBorder="1" applyAlignment="1">
      <alignment horizontal="left"/>
    </xf>
    <xf numFmtId="0" fontId="21" fillId="0" borderId="4" xfId="0" applyFont="1" applyFill="1" applyBorder="1"/>
    <xf numFmtId="0" fontId="21" fillId="11" borderId="6" xfId="0" applyFont="1" applyFill="1" applyBorder="1" applyAlignment="1">
      <alignment horizontal="left" wrapText="1"/>
    </xf>
    <xf numFmtId="0" fontId="21" fillId="11" borderId="26" xfId="0" applyFont="1" applyFill="1" applyBorder="1" applyAlignment="1">
      <alignment horizontal="left" wrapText="1"/>
    </xf>
    <xf numFmtId="0" fontId="0" fillId="11" borderId="65" xfId="0" applyFill="1" applyBorder="1" applyAlignment="1">
      <alignment wrapText="1"/>
    </xf>
    <xf numFmtId="0" fontId="21" fillId="11" borderId="5" xfId="0" applyFont="1" applyFill="1" applyBorder="1" applyAlignment="1">
      <alignment horizontal="center" wrapText="1"/>
    </xf>
    <xf numFmtId="0" fontId="21" fillId="11" borderId="8" xfId="0" applyFont="1" applyFill="1" applyBorder="1" applyAlignment="1">
      <alignment horizontal="center" wrapText="1"/>
    </xf>
    <xf numFmtId="0" fontId="21" fillId="11" borderId="40" xfId="0" applyFont="1" applyFill="1" applyBorder="1" applyAlignment="1">
      <alignment horizontal="center" wrapText="1"/>
    </xf>
    <xf numFmtId="0" fontId="21" fillId="11" borderId="16" xfId="0" applyFont="1" applyFill="1" applyBorder="1" applyAlignment="1">
      <alignment horizontal="center" wrapText="1"/>
    </xf>
    <xf numFmtId="9" fontId="21" fillId="11" borderId="4" xfId="0" applyNumberFormat="1" applyFont="1" applyFill="1" applyBorder="1" applyAlignment="1">
      <alignment horizontal="center" wrapText="1"/>
    </xf>
    <xf numFmtId="0" fontId="24" fillId="11" borderId="41" xfId="0" applyFont="1" applyFill="1" applyBorder="1" applyAlignment="1">
      <alignment horizontal="left" wrapText="1"/>
    </xf>
    <xf numFmtId="0" fontId="21" fillId="11" borderId="30" xfId="0" applyFont="1" applyFill="1" applyBorder="1" applyAlignment="1">
      <alignment horizontal="left" wrapText="1"/>
    </xf>
    <xf numFmtId="0" fontId="21" fillId="11" borderId="48" xfId="0" applyFont="1" applyFill="1" applyBorder="1" applyAlignment="1">
      <alignment horizontal="center" wrapText="1"/>
    </xf>
    <xf numFmtId="0" fontId="21" fillId="11" borderId="49" xfId="0" applyFont="1" applyFill="1" applyBorder="1" applyAlignment="1">
      <alignment horizontal="center" wrapText="1"/>
    </xf>
    <xf numFmtId="0" fontId="21" fillId="11" borderId="43" xfId="0" applyFont="1" applyFill="1" applyBorder="1" applyAlignment="1">
      <alignment horizontal="center" wrapText="1"/>
    </xf>
    <xf numFmtId="0" fontId="21" fillId="11" borderId="20" xfId="0" applyFont="1" applyFill="1" applyBorder="1" applyAlignment="1">
      <alignment horizontal="center" wrapText="1"/>
    </xf>
    <xf numFmtId="0" fontId="21" fillId="11" borderId="32" xfId="0" applyFont="1" applyFill="1" applyBorder="1" applyAlignment="1">
      <alignment horizontal="center" wrapText="1"/>
    </xf>
    <xf numFmtId="0" fontId="21" fillId="11" borderId="30" xfId="0" applyFont="1" applyFill="1" applyBorder="1" applyAlignment="1">
      <alignment horizontal="center" wrapText="1"/>
    </xf>
    <xf numFmtId="0" fontId="21" fillId="11" borderId="30" xfId="0" applyFont="1" applyFill="1" applyBorder="1" applyAlignment="1">
      <alignment horizontal="left"/>
    </xf>
    <xf numFmtId="0" fontId="21" fillId="4" borderId="30" xfId="0" applyFont="1" applyFill="1" applyBorder="1" applyAlignment="1">
      <alignment horizontal="center" vertical="center" wrapText="1"/>
    </xf>
    <xf numFmtId="0" fontId="21" fillId="0" borderId="30" xfId="0" applyFont="1" applyFill="1" applyBorder="1"/>
    <xf numFmtId="0" fontId="21" fillId="11" borderId="33" xfId="0" applyFont="1" applyFill="1" applyBorder="1" applyAlignment="1">
      <alignment horizontal="left" wrapText="1"/>
    </xf>
    <xf numFmtId="0" fontId="21" fillId="11" borderId="20" xfId="0" applyFont="1" applyFill="1" applyBorder="1" applyAlignment="1">
      <alignment horizontal="left" wrapText="1"/>
    </xf>
    <xf numFmtId="0" fontId="0" fillId="11" borderId="66" xfId="0" applyFill="1" applyBorder="1" applyAlignment="1">
      <alignment wrapText="1"/>
    </xf>
    <xf numFmtId="0" fontId="24" fillId="4" borderId="50" xfId="0" applyFont="1" applyFill="1" applyBorder="1" applyAlignment="1">
      <alignment horizontal="left" wrapText="1"/>
    </xf>
    <xf numFmtId="0" fontId="21" fillId="0" borderId="36" xfId="0" applyFont="1" applyFill="1" applyBorder="1"/>
    <xf numFmtId="0" fontId="21" fillId="4" borderId="24" xfId="0" applyFont="1" applyFill="1" applyBorder="1" applyAlignment="1">
      <alignment horizontal="center" wrapText="1"/>
    </xf>
    <xf numFmtId="0" fontId="21" fillId="4" borderId="1" xfId="0" applyFont="1" applyFill="1" applyBorder="1" applyAlignment="1">
      <alignment horizontal="center" wrapText="1"/>
    </xf>
    <xf numFmtId="0" fontId="21" fillId="4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center" vertical="center" wrapText="1"/>
    </xf>
    <xf numFmtId="0" fontId="21" fillId="0" borderId="1" xfId="0" applyFont="1" applyFill="1" applyBorder="1"/>
    <xf numFmtId="0" fontId="21" fillId="4" borderId="7" xfId="0" applyFont="1" applyFill="1" applyBorder="1" applyAlignment="1">
      <alignment horizontal="left" wrapText="1"/>
    </xf>
    <xf numFmtId="0" fontId="21" fillId="4" borderId="16" xfId="0" applyFont="1" applyFill="1" applyBorder="1" applyAlignment="1">
      <alignment horizontal="left" wrapText="1"/>
    </xf>
    <xf numFmtId="0" fontId="0" fillId="4" borderId="67" xfId="0" applyFill="1" applyBorder="1" applyAlignment="1">
      <alignment wrapText="1"/>
    </xf>
    <xf numFmtId="0" fontId="21" fillId="4" borderId="48" xfId="0" applyFont="1" applyFill="1" applyBorder="1" applyAlignment="1">
      <alignment horizontal="center" wrapText="1"/>
    </xf>
    <xf numFmtId="0" fontId="21" fillId="4" borderId="49" xfId="0" applyFont="1" applyFill="1" applyBorder="1" applyAlignment="1">
      <alignment horizontal="center" wrapText="1"/>
    </xf>
    <xf numFmtId="0" fontId="21" fillId="4" borderId="32" xfId="0" applyFont="1" applyFill="1" applyBorder="1" applyAlignment="1">
      <alignment horizontal="center" wrapText="1"/>
    </xf>
    <xf numFmtId="0" fontId="21" fillId="4" borderId="30" xfId="0" applyFont="1" applyFill="1" applyBorder="1" applyAlignment="1">
      <alignment horizontal="center" wrapText="1"/>
    </xf>
    <xf numFmtId="167" fontId="21" fillId="4" borderId="30" xfId="0" applyNumberFormat="1" applyFont="1" applyFill="1" applyBorder="1" applyAlignment="1">
      <alignment horizontal="center" wrapText="1"/>
    </xf>
    <xf numFmtId="0" fontId="21" fillId="4" borderId="30" xfId="0" applyFont="1" applyFill="1" applyBorder="1" applyAlignment="1">
      <alignment horizontal="left"/>
    </xf>
    <xf numFmtId="0" fontId="21" fillId="4" borderId="33" xfId="0" applyFont="1" applyFill="1" applyBorder="1" applyAlignment="1">
      <alignment horizontal="left" wrapText="1"/>
    </xf>
    <xf numFmtId="0" fontId="21" fillId="4" borderId="20" xfId="0" applyFont="1" applyFill="1" applyBorder="1" applyAlignment="1">
      <alignment horizontal="left" wrapText="1"/>
    </xf>
    <xf numFmtId="0" fontId="0" fillId="4" borderId="66" xfId="0" applyFill="1" applyBorder="1" applyAlignment="1">
      <alignment wrapText="1"/>
    </xf>
    <xf numFmtId="0" fontId="24" fillId="11" borderId="35" xfId="0" applyFont="1" applyFill="1" applyBorder="1" applyAlignment="1">
      <alignment horizontal="left" wrapText="1"/>
    </xf>
    <xf numFmtId="0" fontId="21" fillId="11" borderId="36" xfId="0" applyFont="1" applyFill="1" applyBorder="1" applyAlignment="1">
      <alignment horizontal="left" wrapText="1"/>
    </xf>
    <xf numFmtId="0" fontId="21" fillId="11" borderId="51" xfId="0" applyFont="1" applyFill="1" applyBorder="1" applyAlignment="1">
      <alignment horizontal="center" wrapText="1"/>
    </xf>
    <xf numFmtId="0" fontId="21" fillId="11" borderId="38" xfId="0" applyFont="1" applyFill="1" applyBorder="1" applyAlignment="1">
      <alignment horizontal="center" wrapText="1"/>
    </xf>
    <xf numFmtId="0" fontId="21" fillId="11" borderId="36" xfId="0" applyFont="1" applyFill="1" applyBorder="1" applyAlignment="1">
      <alignment horizontal="center" wrapText="1"/>
    </xf>
    <xf numFmtId="0" fontId="21" fillId="11" borderId="36" xfId="0" applyFont="1" applyFill="1" applyBorder="1" applyAlignment="1">
      <alignment horizontal="left"/>
    </xf>
    <xf numFmtId="0" fontId="21" fillId="11" borderId="39" xfId="0" applyFont="1" applyFill="1" applyBorder="1" applyAlignment="1">
      <alignment horizontal="left" wrapText="1"/>
    </xf>
    <xf numFmtId="0" fontId="21" fillId="11" borderId="15" xfId="0" applyFont="1" applyFill="1" applyBorder="1" applyAlignment="1">
      <alignment horizontal="left" wrapText="1"/>
    </xf>
    <xf numFmtId="0" fontId="0" fillId="11" borderId="64" xfId="0" applyFill="1" applyBorder="1" applyAlignment="1">
      <alignment horizontal="left" vertical="center" wrapText="1"/>
    </xf>
    <xf numFmtId="0" fontId="24" fillId="11" borderId="21" xfId="0" applyFont="1" applyFill="1" applyBorder="1" applyAlignment="1">
      <alignment horizontal="left" wrapText="1"/>
    </xf>
    <xf numFmtId="0" fontId="21" fillId="11" borderId="1" xfId="0" applyFont="1" applyFill="1" applyBorder="1" applyAlignment="1">
      <alignment horizontal="left" wrapText="1"/>
    </xf>
    <xf numFmtId="0" fontId="21" fillId="11" borderId="24" xfId="0" applyFont="1" applyFill="1" applyBorder="1" applyAlignment="1">
      <alignment horizontal="center" wrapText="1"/>
    </xf>
    <xf numFmtId="0" fontId="21" fillId="11" borderId="1" xfId="0" applyFont="1" applyFill="1" applyBorder="1" applyAlignment="1">
      <alignment horizontal="center" wrapText="1"/>
    </xf>
    <xf numFmtId="0" fontId="21" fillId="11" borderId="1" xfId="0" applyFont="1" applyFill="1" applyBorder="1" applyAlignment="1">
      <alignment horizontal="left"/>
    </xf>
    <xf numFmtId="0" fontId="21" fillId="11" borderId="7" xfId="0" applyFont="1" applyFill="1" applyBorder="1" applyAlignment="1">
      <alignment horizontal="left" wrapText="1"/>
    </xf>
    <xf numFmtId="0" fontId="0" fillId="11" borderId="67" xfId="0" applyFill="1" applyBorder="1" applyAlignment="1">
      <alignment wrapText="1"/>
    </xf>
    <xf numFmtId="0" fontId="21" fillId="11" borderId="16" xfId="0" applyFont="1" applyFill="1" applyBorder="1" applyAlignment="1">
      <alignment horizontal="left" wrapText="1"/>
    </xf>
    <xf numFmtId="0" fontId="21" fillId="11" borderId="27" xfId="0" applyFont="1" applyFill="1" applyBorder="1" applyAlignment="1">
      <alignment horizontal="center" wrapText="1"/>
    </xf>
    <xf numFmtId="0" fontId="21" fillId="11" borderId="29" xfId="0" applyFont="1" applyFill="1" applyBorder="1" applyAlignment="1">
      <alignment horizontal="center" wrapText="1"/>
    </xf>
    <xf numFmtId="0" fontId="21" fillId="11" borderId="42" xfId="0" applyFont="1" applyFill="1" applyBorder="1" applyAlignment="1">
      <alignment horizontal="center" wrapText="1"/>
    </xf>
    <xf numFmtId="0" fontId="26" fillId="4" borderId="0" xfId="0" applyFont="1" applyFill="1"/>
    <xf numFmtId="0" fontId="8" fillId="4" borderId="0" xfId="0" applyFont="1" applyFill="1"/>
    <xf numFmtId="0" fontId="27" fillId="13" borderId="0" xfId="2" applyFont="1" applyFill="1" applyAlignment="1">
      <alignment horizontal="left" vertical="center"/>
    </xf>
    <xf numFmtId="0" fontId="27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left" vertical="center"/>
    </xf>
    <xf numFmtId="0" fontId="28" fillId="5" borderId="36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/>
    </xf>
    <xf numFmtId="0" fontId="15" fillId="4" borderId="2" xfId="0" applyFont="1" applyFill="1" applyBorder="1" applyAlignment="1">
      <alignment horizontal="center"/>
    </xf>
    <xf numFmtId="0" fontId="14" fillId="15" borderId="1" xfId="0" applyFont="1" applyFill="1" applyBorder="1" applyAlignment="1">
      <alignment horizontal="center"/>
    </xf>
    <xf numFmtId="0" fontId="15" fillId="16" borderId="1" xfId="0" applyFont="1" applyFill="1" applyBorder="1" applyAlignment="1">
      <alignment horizontal="center"/>
    </xf>
    <xf numFmtId="0" fontId="15" fillId="17" borderId="1" xfId="0" applyFont="1" applyFill="1" applyBorder="1" applyAlignment="1">
      <alignment horizontal="center"/>
    </xf>
    <xf numFmtId="0" fontId="14" fillId="18" borderId="30" xfId="0" applyFont="1" applyFill="1" applyBorder="1" applyAlignment="1">
      <alignment horizontal="center"/>
    </xf>
    <xf numFmtId="0" fontId="15" fillId="4" borderId="18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/>
    <xf numFmtId="0" fontId="0" fillId="4" borderId="0" xfId="0" applyFill="1" applyAlignment="1">
      <alignment horizontal="left"/>
    </xf>
    <xf numFmtId="0" fontId="9" fillId="4" borderId="0" xfId="2" applyFill="1"/>
    <xf numFmtId="0" fontId="15" fillId="4" borderId="1" xfId="0" applyFont="1" applyFill="1" applyBorder="1" applyAlignment="1">
      <alignment horizontal="center"/>
    </xf>
    <xf numFmtId="0" fontId="14" fillId="6" borderId="1" xfId="0" applyFont="1" applyFill="1" applyBorder="1" applyAlignment="1">
      <alignment horizontal="center"/>
    </xf>
    <xf numFmtId="0" fontId="15" fillId="4" borderId="30" xfId="0" applyFont="1" applyFill="1" applyBorder="1" applyAlignment="1">
      <alignment horizontal="center"/>
    </xf>
    <xf numFmtId="0" fontId="9" fillId="4" borderId="0" xfId="2" applyFill="1" applyAlignment="1">
      <alignment horizontal="center" vertical="center" wrapText="1"/>
    </xf>
    <xf numFmtId="0" fontId="9" fillId="4" borderId="0" xfId="2" applyFill="1" applyAlignment="1">
      <alignment horizontal="left"/>
    </xf>
    <xf numFmtId="0" fontId="21" fillId="19" borderId="52" xfId="0" applyFont="1" applyFill="1" applyBorder="1" applyAlignment="1">
      <alignment vertical="center" wrapText="1"/>
    </xf>
    <xf numFmtId="0" fontId="21" fillId="19" borderId="53" xfId="0" applyFont="1" applyFill="1" applyBorder="1" applyAlignment="1">
      <alignment vertical="center" wrapText="1"/>
    </xf>
    <xf numFmtId="0" fontId="21" fillId="19" borderId="54" xfId="0" applyFont="1" applyFill="1" applyBorder="1" applyAlignment="1">
      <alignment vertical="center" wrapText="1"/>
    </xf>
    <xf numFmtId="0" fontId="21" fillId="19" borderId="47" xfId="0" applyFont="1" applyFill="1" applyBorder="1" applyAlignment="1">
      <alignment vertical="center" wrapText="1"/>
    </xf>
    <xf numFmtId="0" fontId="7" fillId="20" borderId="45" xfId="0" applyFont="1" applyFill="1" applyBorder="1" applyAlignment="1">
      <alignment horizontal="center" vertical="center"/>
    </xf>
    <xf numFmtId="0" fontId="7" fillId="21" borderId="45" xfId="0" applyFont="1" applyFill="1" applyBorder="1" applyAlignment="1">
      <alignment horizontal="center" vertical="center"/>
    </xf>
    <xf numFmtId="0" fontId="7" fillId="16" borderId="45" xfId="0" applyFont="1" applyFill="1" applyBorder="1" applyAlignment="1">
      <alignment horizontal="left" vertical="center"/>
    </xf>
    <xf numFmtId="0" fontId="7" fillId="15" borderId="45" xfId="0" applyFont="1" applyFill="1" applyBorder="1" applyAlignment="1">
      <alignment horizontal="center" vertical="center"/>
    </xf>
    <xf numFmtId="0" fontId="20" fillId="14" borderId="46" xfId="0" applyFont="1" applyFill="1" applyBorder="1" applyAlignment="1">
      <alignment horizontal="center" vertical="center"/>
    </xf>
    <xf numFmtId="0" fontId="7" fillId="20" borderId="37" xfId="0" applyFont="1" applyFill="1" applyBorder="1" applyAlignment="1">
      <alignment horizontal="center" vertical="center"/>
    </xf>
    <xf numFmtId="0" fontId="20" fillId="20" borderId="35" xfId="0" applyFont="1" applyFill="1" applyBorder="1" applyAlignment="1">
      <alignment horizontal="center"/>
    </xf>
    <xf numFmtId="0" fontId="20" fillId="20" borderId="36" xfId="0" applyFont="1" applyFill="1" applyBorder="1" applyAlignment="1">
      <alignment horizontal="center"/>
    </xf>
    <xf numFmtId="0" fontId="20" fillId="20" borderId="36" xfId="0" applyFont="1" applyFill="1" applyBorder="1" applyAlignment="1">
      <alignment horizontal="left"/>
    </xf>
    <xf numFmtId="0" fontId="20" fillId="20" borderId="39" xfId="0" applyFont="1" applyFill="1" applyBorder="1" applyAlignment="1">
      <alignment horizontal="center"/>
    </xf>
    <xf numFmtId="0" fontId="7" fillId="21" borderId="40" xfId="0" applyFont="1" applyFill="1" applyBorder="1" applyAlignment="1">
      <alignment horizontal="center" vertical="center"/>
    </xf>
    <xf numFmtId="0" fontId="20" fillId="20" borderId="21" xfId="0" applyFont="1" applyFill="1" applyBorder="1" applyAlignment="1">
      <alignment horizontal="center"/>
    </xf>
    <xf numFmtId="0" fontId="20" fillId="20" borderId="1" xfId="0" applyFont="1" applyFill="1" applyBorder="1" applyAlignment="1">
      <alignment horizontal="center"/>
    </xf>
    <xf numFmtId="0" fontId="7" fillId="16" borderId="1" xfId="0" applyFont="1" applyFill="1" applyBorder="1" applyAlignment="1">
      <alignment horizontal="left"/>
    </xf>
    <xf numFmtId="0" fontId="24" fillId="16" borderId="1" xfId="0" applyFont="1" applyFill="1" applyBorder="1" applyAlignment="1">
      <alignment horizontal="center"/>
    </xf>
    <xf numFmtId="0" fontId="24" fillId="16" borderId="7" xfId="0" applyFont="1" applyFill="1" applyBorder="1" applyAlignment="1">
      <alignment horizontal="center"/>
    </xf>
    <xf numFmtId="0" fontId="7" fillId="16" borderId="4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left"/>
    </xf>
    <xf numFmtId="0" fontId="20" fillId="14" borderId="1" xfId="0" applyFont="1" applyFill="1" applyBorder="1" applyAlignment="1">
      <alignment horizontal="center"/>
    </xf>
    <xf numFmtId="0" fontId="20" fillId="14" borderId="7" xfId="0" applyFont="1" applyFill="1" applyBorder="1" applyAlignment="1">
      <alignment horizontal="center"/>
    </xf>
    <xf numFmtId="0" fontId="7" fillId="15" borderId="40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/>
    </xf>
    <xf numFmtId="0" fontId="20" fillId="14" borderId="1" xfId="0" applyFont="1" applyFill="1" applyBorder="1" applyAlignment="1">
      <alignment horizontal="left"/>
    </xf>
    <xf numFmtId="0" fontId="7" fillId="14" borderId="43" xfId="0" applyFont="1" applyFill="1" applyBorder="1" applyAlignment="1">
      <alignment horizontal="center" vertical="center"/>
    </xf>
    <xf numFmtId="0" fontId="20" fillId="20" borderId="41" xfId="0" applyFont="1" applyFill="1" applyBorder="1" applyAlignment="1">
      <alignment horizontal="center"/>
    </xf>
    <xf numFmtId="0" fontId="7" fillId="16" borderId="30" xfId="0" applyFont="1" applyFill="1" applyBorder="1" applyAlignment="1">
      <alignment horizontal="center"/>
    </xf>
    <xf numFmtId="0" fontId="20" fillId="14" borderId="30" xfId="0" applyFont="1" applyFill="1" applyBorder="1" applyAlignment="1">
      <alignment horizontal="left"/>
    </xf>
    <xf numFmtId="0" fontId="20" fillId="14" borderId="30" xfId="0" applyFont="1" applyFill="1" applyBorder="1" applyAlignment="1">
      <alignment horizontal="center"/>
    </xf>
    <xf numFmtId="0" fontId="20" fillId="14" borderId="33" xfId="0" applyFont="1" applyFill="1" applyBorder="1" applyAlignment="1">
      <alignment horizontal="center"/>
    </xf>
    <xf numFmtId="0" fontId="21" fillId="4" borderId="0" xfId="0" applyFont="1" applyFill="1" applyAlignment="1">
      <alignment horizontal="center"/>
    </xf>
    <xf numFmtId="0" fontId="24" fillId="22" borderId="0" xfId="0" applyFont="1" applyFill="1" applyAlignment="1">
      <alignment horizontal="left" wrapText="1"/>
    </xf>
    <xf numFmtId="0" fontId="21" fillId="22" borderId="0" xfId="0" applyFont="1" applyFill="1" applyAlignment="1">
      <alignment horizontal="left" wrapText="1"/>
    </xf>
    <xf numFmtId="0" fontId="21" fillId="22" borderId="0" xfId="0" applyFont="1" applyFill="1" applyAlignment="1">
      <alignment horizontal="left" vertical="center" wrapText="1"/>
    </xf>
    <xf numFmtId="0" fontId="29" fillId="4" borderId="0" xfId="0" applyFont="1" applyFill="1" applyAlignment="1">
      <alignment horizontal="left" vertical="center"/>
    </xf>
    <xf numFmtId="16" fontId="20" fillId="20" borderId="1" xfId="0" applyNumberFormat="1" applyFont="1" applyFill="1" applyBorder="1" applyAlignment="1">
      <alignment horizontal="center" vertical="center" wrapText="1"/>
    </xf>
    <xf numFmtId="16" fontId="24" fillId="16" borderId="1" xfId="0" applyNumberFormat="1" applyFont="1" applyFill="1" applyBorder="1" applyAlignment="1">
      <alignment horizontal="center" vertical="center" wrapText="1"/>
    </xf>
    <xf numFmtId="16" fontId="20" fillId="14" borderId="1" xfId="0" applyNumberFormat="1" applyFont="1" applyFill="1" applyBorder="1" applyAlignment="1">
      <alignment horizontal="center" vertical="center" wrapText="1"/>
    </xf>
    <xf numFmtId="0" fontId="30" fillId="4" borderId="0" xfId="0" applyFont="1" applyFill="1" applyAlignment="1">
      <alignment horizontal="left" wrapText="1"/>
    </xf>
    <xf numFmtId="0" fontId="30" fillId="4" borderId="0" xfId="0" applyFont="1" applyFill="1" applyAlignment="1">
      <alignment wrapText="1"/>
    </xf>
    <xf numFmtId="0" fontId="30" fillId="4" borderId="0" xfId="0" applyFont="1" applyFill="1" applyAlignment="1"/>
    <xf numFmtId="0" fontId="31" fillId="4" borderId="0" xfId="0" applyFont="1" applyFill="1" applyAlignment="1">
      <alignment horizontal="left" wrapText="1"/>
    </xf>
    <xf numFmtId="0" fontId="31" fillId="4" borderId="0" xfId="0" applyFont="1" applyFill="1" applyAlignment="1">
      <alignment horizontal="left" vertical="center" wrapText="1"/>
    </xf>
    <xf numFmtId="0" fontId="31" fillId="4" borderId="0" xfId="0" applyFont="1" applyFill="1" applyAlignment="1">
      <alignment horizontal="center" vertical="center" wrapText="1"/>
    </xf>
    <xf numFmtId="0" fontId="31" fillId="4" borderId="0" xfId="0" applyFont="1" applyFill="1" applyAlignment="1">
      <alignment horizontal="center" wrapText="1"/>
    </xf>
    <xf numFmtId="0" fontId="31" fillId="4" borderId="0" xfId="0" applyFont="1" applyFill="1" applyAlignment="1">
      <alignment horizontal="left"/>
    </xf>
    <xf numFmtId="0" fontId="21" fillId="5" borderId="0" xfId="0" applyFont="1" applyFill="1" applyBorder="1"/>
    <xf numFmtId="0" fontId="21" fillId="5" borderId="0" xfId="0" applyFont="1" applyFill="1" applyBorder="1" applyAlignment="1">
      <alignment horizontal="left" wrapText="1"/>
    </xf>
    <xf numFmtId="0" fontId="21" fillId="5" borderId="0" xfId="0" applyFont="1" applyFill="1" applyBorder="1" applyAlignment="1">
      <alignment horizontal="left" vertical="center" wrapText="1"/>
    </xf>
    <xf numFmtId="0" fontId="21" fillId="5" borderId="0" xfId="0" applyFont="1" applyFill="1" applyBorder="1" applyAlignment="1">
      <alignment horizontal="center" vertical="center" wrapText="1"/>
    </xf>
    <xf numFmtId="0" fontId="21" fillId="5" borderId="0" xfId="0" applyFont="1" applyFill="1" applyBorder="1" applyAlignment="1">
      <alignment horizontal="center" wrapText="1"/>
    </xf>
    <xf numFmtId="0" fontId="21" fillId="5" borderId="0" xfId="0" applyFont="1" applyFill="1" applyBorder="1" applyAlignment="1">
      <alignment horizontal="left"/>
    </xf>
    <xf numFmtId="0" fontId="21" fillId="5" borderId="0" xfId="0" applyFont="1" applyFill="1" applyBorder="1" applyAlignment="1">
      <alignment wrapText="1"/>
    </xf>
    <xf numFmtId="0" fontId="21" fillId="15" borderId="51" xfId="0" applyFont="1" applyFill="1" applyBorder="1"/>
    <xf numFmtId="0" fontId="30" fillId="4" borderId="13" xfId="0" applyFont="1" applyFill="1" applyBorder="1" applyAlignment="1">
      <alignment horizontal="center" vertical="center" wrapText="1"/>
    </xf>
    <xf numFmtId="0" fontId="30" fillId="4" borderId="8" xfId="0" applyFont="1" applyFill="1" applyBorder="1" applyAlignment="1">
      <alignment horizontal="center" vertical="center" wrapText="1"/>
    </xf>
    <xf numFmtId="0" fontId="30" fillId="4" borderId="2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30" fillId="11" borderId="8" xfId="0" applyFont="1" applyFill="1" applyBorder="1" applyAlignment="1">
      <alignment horizontal="center" vertical="center" wrapText="1"/>
    </xf>
    <xf numFmtId="0" fontId="30" fillId="11" borderId="18" xfId="0" applyFont="1" applyFill="1" applyBorder="1" applyAlignment="1">
      <alignment horizontal="center" vertical="center" wrapText="1"/>
    </xf>
    <xf numFmtId="0" fontId="30" fillId="11" borderId="13" xfId="0" applyFont="1" applyFill="1" applyBorder="1" applyAlignment="1">
      <alignment horizontal="center" vertical="center" wrapText="1"/>
    </xf>
    <xf numFmtId="0" fontId="30" fillId="11" borderId="2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9" fillId="4" borderId="0" xfId="2" applyFill="1" applyAlignment="1">
      <alignment horizontal="center"/>
    </xf>
    <xf numFmtId="0" fontId="21" fillId="22" borderId="0" xfId="0" applyFont="1" applyFill="1" applyAlignment="1">
      <alignment horizontal="center" wrapText="1"/>
    </xf>
    <xf numFmtId="0" fontId="30" fillId="4" borderId="0" xfId="0" applyFont="1" applyFill="1" applyAlignment="1">
      <alignment horizontal="center" wrapText="1"/>
    </xf>
    <xf numFmtId="0" fontId="30" fillId="4" borderId="0" xfId="0" applyFont="1" applyFill="1" applyAlignment="1">
      <alignment horizontal="center"/>
    </xf>
    <xf numFmtId="0" fontId="32" fillId="5" borderId="0" xfId="0" applyFont="1" applyFill="1" applyBorder="1" applyAlignment="1">
      <alignment horizontal="right"/>
    </xf>
    <xf numFmtId="0" fontId="33" fillId="5" borderId="0" xfId="0" applyFont="1" applyFill="1" applyBorder="1" applyAlignment="1">
      <alignment horizontal="right"/>
    </xf>
    <xf numFmtId="0" fontId="33" fillId="5" borderId="0" xfId="0" applyFont="1" applyFill="1" applyBorder="1" applyAlignment="1">
      <alignment horizontal="left" wrapText="1"/>
    </xf>
    <xf numFmtId="0" fontId="33" fillId="5" borderId="0" xfId="0" applyFont="1" applyFill="1" applyBorder="1"/>
    <xf numFmtId="0" fontId="33" fillId="5" borderId="0" xfId="0" applyFont="1" applyFill="1" applyBorder="1" applyAlignment="1">
      <alignment vertical="center"/>
    </xf>
    <xf numFmtId="0" fontId="33" fillId="5" borderId="0" xfId="0" applyFont="1" applyFill="1" applyBorder="1" applyAlignment="1">
      <alignment horizontal="center" wrapText="1"/>
    </xf>
    <xf numFmtId="0" fontId="33" fillId="5" borderId="0" xfId="0" applyFont="1" applyFill="1" applyBorder="1" applyAlignment="1">
      <alignment horizontal="left"/>
    </xf>
    <xf numFmtId="0" fontId="33" fillId="5" borderId="0" xfId="0" applyFont="1" applyFill="1" applyBorder="1" applyAlignment="1">
      <alignment wrapText="1"/>
    </xf>
    <xf numFmtId="0" fontId="33" fillId="4" borderId="0" xfId="0" applyFont="1" applyFill="1"/>
    <xf numFmtId="0" fontId="34" fillId="15" borderId="34" xfId="0" applyFont="1" applyFill="1" applyBorder="1" applyAlignment="1">
      <alignment vertical="center"/>
    </xf>
    <xf numFmtId="0" fontId="34" fillId="15" borderId="12" xfId="0" applyFont="1" applyFill="1" applyBorder="1" applyAlignment="1">
      <alignment vertical="center"/>
    </xf>
    <xf numFmtId="0" fontId="35" fillId="15" borderId="53" xfId="0" applyFont="1" applyFill="1" applyBorder="1" applyAlignment="1">
      <alignment horizontal="center" vertical="center" wrapText="1"/>
    </xf>
    <xf numFmtId="0" fontId="36" fillId="15" borderId="55" xfId="0" applyFont="1" applyFill="1" applyBorder="1" applyAlignment="1">
      <alignment horizontal="center" vertical="center" wrapText="1"/>
    </xf>
    <xf numFmtId="0" fontId="4" fillId="7" borderId="41" xfId="0" applyFont="1" applyFill="1" applyBorder="1" applyAlignment="1">
      <alignment horizontal="center" vertical="center" wrapText="1"/>
    </xf>
    <xf numFmtId="0" fontId="4" fillId="7" borderId="30" xfId="0" applyFont="1" applyFill="1" applyBorder="1" applyAlignment="1">
      <alignment horizontal="center" vertical="center" wrapText="1"/>
    </xf>
    <xf numFmtId="0" fontId="3" fillId="7" borderId="63" xfId="0" applyFont="1" applyFill="1" applyBorder="1" applyAlignment="1">
      <alignment horizontal="center" vertical="center" wrapText="1"/>
    </xf>
    <xf numFmtId="0" fontId="32" fillId="5" borderId="0" xfId="0" applyFont="1" applyFill="1" applyBorder="1" applyAlignment="1">
      <alignment horizontal="left" wrapText="1"/>
    </xf>
    <xf numFmtId="0" fontId="32" fillId="5" borderId="0" xfId="0" applyFont="1" applyFill="1" applyBorder="1" applyAlignment="1">
      <alignment horizontal="center" vertical="center"/>
    </xf>
    <xf numFmtId="0" fontId="32" fillId="5" borderId="0" xfId="0" applyFont="1" applyFill="1" applyBorder="1" applyAlignment="1">
      <alignment vertical="center"/>
    </xf>
    <xf numFmtId="0" fontId="32" fillId="5" borderId="0" xfId="0" applyFont="1" applyFill="1" applyBorder="1" applyAlignment="1">
      <alignment horizontal="right" vertical="center"/>
    </xf>
    <xf numFmtId="0" fontId="3" fillId="7" borderId="30" xfId="0" applyFont="1" applyFill="1" applyBorder="1" applyAlignment="1">
      <alignment horizontal="center" vertical="center" wrapText="1"/>
    </xf>
    <xf numFmtId="0" fontId="5" fillId="7" borderId="41" xfId="0" applyFont="1" applyFill="1" applyBorder="1" applyAlignment="1">
      <alignment horizontal="center" vertical="center" wrapText="1"/>
    </xf>
    <xf numFmtId="0" fontId="5" fillId="7" borderId="30" xfId="0" applyFont="1" applyFill="1" applyBorder="1" applyAlignment="1">
      <alignment horizontal="center" vertical="center" wrapText="1"/>
    </xf>
    <xf numFmtId="0" fontId="23" fillId="10" borderId="68" xfId="0" applyFont="1" applyFill="1" applyBorder="1" applyAlignment="1">
      <alignment horizontal="center" vertical="center" wrapText="1"/>
    </xf>
    <xf numFmtId="0" fontId="24" fillId="4" borderId="38" xfId="0" applyFont="1" applyFill="1" applyBorder="1" applyAlignment="1">
      <alignment horizontal="left" wrapText="1"/>
    </xf>
    <xf numFmtId="0" fontId="24" fillId="4" borderId="23" xfId="0" applyFont="1" applyFill="1" applyBorder="1" applyAlignment="1">
      <alignment horizontal="left" wrapText="1"/>
    </xf>
    <xf numFmtId="0" fontId="24" fillId="4" borderId="24" xfId="0" applyFont="1" applyFill="1" applyBorder="1" applyAlignment="1">
      <alignment horizontal="left" wrapText="1"/>
    </xf>
    <xf numFmtId="0" fontId="24" fillId="4" borderId="32" xfId="0" applyFont="1" applyFill="1" applyBorder="1" applyAlignment="1">
      <alignment horizontal="left" wrapText="1"/>
    </xf>
    <xf numFmtId="0" fontId="24" fillId="11" borderId="23" xfId="0" applyFont="1" applyFill="1" applyBorder="1" applyAlignment="1">
      <alignment horizontal="left" wrapText="1"/>
    </xf>
    <xf numFmtId="0" fontId="24" fillId="11" borderId="32" xfId="0" applyFont="1" applyFill="1" applyBorder="1" applyAlignment="1">
      <alignment horizontal="left" wrapText="1"/>
    </xf>
    <xf numFmtId="0" fontId="24" fillId="4" borderId="68" xfId="0" applyFont="1" applyFill="1" applyBorder="1" applyAlignment="1">
      <alignment horizontal="left" wrapText="1"/>
    </xf>
    <xf numFmtId="0" fontId="24" fillId="11" borderId="38" xfId="0" applyFont="1" applyFill="1" applyBorder="1" applyAlignment="1">
      <alignment horizontal="left" wrapText="1"/>
    </xf>
    <xf numFmtId="0" fontId="24" fillId="11" borderId="24" xfId="0" applyFont="1" applyFill="1" applyBorder="1" applyAlignment="1">
      <alignment horizontal="left" wrapText="1"/>
    </xf>
    <xf numFmtId="0" fontId="24" fillId="4" borderId="38" xfId="0" applyFont="1" applyFill="1" applyBorder="1" applyAlignment="1">
      <alignment horizontal="center" wrapText="1"/>
    </xf>
    <xf numFmtId="0" fontId="24" fillId="4" borderId="23" xfId="0" applyFont="1" applyFill="1" applyBorder="1" applyAlignment="1">
      <alignment horizontal="center" wrapText="1"/>
    </xf>
    <xf numFmtId="0" fontId="24" fillId="4" borderId="24" xfId="0" applyFont="1" applyFill="1" applyBorder="1" applyAlignment="1">
      <alignment horizontal="center" wrapText="1"/>
    </xf>
    <xf numFmtId="0" fontId="24" fillId="4" borderId="32" xfId="0" applyFont="1" applyFill="1" applyBorder="1" applyAlignment="1">
      <alignment horizontal="center" wrapText="1"/>
    </xf>
    <xf numFmtId="0" fontId="24" fillId="11" borderId="23" xfId="0" applyFont="1" applyFill="1" applyBorder="1" applyAlignment="1">
      <alignment horizontal="center" wrapText="1"/>
    </xf>
    <xf numFmtId="0" fontId="24" fillId="11" borderId="32" xfId="0" applyFont="1" applyFill="1" applyBorder="1" applyAlignment="1">
      <alignment horizontal="center" wrapText="1"/>
    </xf>
    <xf numFmtId="0" fontId="24" fillId="4" borderId="68" xfId="0" applyFont="1" applyFill="1" applyBorder="1" applyAlignment="1">
      <alignment horizontal="center" wrapText="1"/>
    </xf>
    <xf numFmtId="0" fontId="24" fillId="11" borderId="38" xfId="0" applyFont="1" applyFill="1" applyBorder="1" applyAlignment="1">
      <alignment horizontal="center" wrapText="1"/>
    </xf>
    <xf numFmtId="0" fontId="24" fillId="11" borderId="24" xfId="0" applyFont="1" applyFill="1" applyBorder="1" applyAlignment="1">
      <alignment horizontal="center" wrapText="1"/>
    </xf>
    <xf numFmtId="0" fontId="24" fillId="22" borderId="0" xfId="0" applyFont="1" applyFill="1" applyAlignment="1">
      <alignment horizontal="center" wrapText="1"/>
    </xf>
    <xf numFmtId="0" fontId="29" fillId="4" borderId="0" xfId="0" applyFont="1" applyFill="1" applyAlignment="1">
      <alignment horizontal="center" vertical="center"/>
    </xf>
    <xf numFmtId="0" fontId="21" fillId="4" borderId="15" xfId="0" applyFont="1" applyFill="1" applyBorder="1" applyAlignment="1">
      <alignment horizontal="center" wrapText="1"/>
    </xf>
    <xf numFmtId="0" fontId="21" fillId="11" borderId="15" xfId="0" applyFont="1" applyFill="1" applyBorder="1" applyAlignment="1">
      <alignment horizontal="center" wrapText="1"/>
    </xf>
    <xf numFmtId="0" fontId="21" fillId="4" borderId="28" xfId="0" applyFont="1" applyFill="1" applyBorder="1" applyAlignment="1">
      <alignment horizontal="center" wrapText="1"/>
    </xf>
    <xf numFmtId="0" fontId="21" fillId="11" borderId="45" xfId="0" applyFont="1" applyFill="1" applyBorder="1" applyAlignment="1">
      <alignment horizontal="center" wrapText="1"/>
    </xf>
    <xf numFmtId="0" fontId="21" fillId="11" borderId="28" xfId="0" applyFont="1" applyFill="1" applyBorder="1" applyAlignment="1">
      <alignment horizontal="center" wrapText="1"/>
    </xf>
    <xf numFmtId="0" fontId="5" fillId="7" borderId="32" xfId="0" applyFont="1" applyFill="1" applyBorder="1" applyAlignment="1">
      <alignment horizontal="center" vertical="center" wrapText="1"/>
    </xf>
    <xf numFmtId="0" fontId="21" fillId="4" borderId="68" xfId="0" applyFont="1" applyFill="1" applyBorder="1" applyAlignment="1">
      <alignment horizontal="center" wrapText="1"/>
    </xf>
    <xf numFmtId="0" fontId="21" fillId="11" borderId="44" xfId="0" applyFont="1" applyFill="1" applyBorder="1" applyAlignment="1">
      <alignment horizontal="center" wrapText="1"/>
    </xf>
    <xf numFmtId="0" fontId="21" fillId="11" borderId="68" xfId="0" applyFont="1" applyFill="1" applyBorder="1" applyAlignment="1">
      <alignment horizontal="center" wrapText="1"/>
    </xf>
    <xf numFmtId="0" fontId="5" fillId="7" borderId="20" xfId="0" applyFont="1" applyFill="1" applyBorder="1" applyAlignment="1">
      <alignment horizontal="center" vertical="center" wrapText="1"/>
    </xf>
    <xf numFmtId="0" fontId="21" fillId="4" borderId="26" xfId="0" applyFont="1" applyFill="1" applyBorder="1" applyAlignment="1">
      <alignment horizontal="center" wrapText="1"/>
    </xf>
    <xf numFmtId="0" fontId="21" fillId="4" borderId="53" xfId="0" applyFont="1" applyFill="1" applyBorder="1" applyAlignment="1">
      <alignment horizontal="center" wrapText="1"/>
    </xf>
    <xf numFmtId="0" fontId="21" fillId="11" borderId="47" xfId="0" applyFont="1" applyFill="1" applyBorder="1" applyAlignment="1">
      <alignment horizontal="center" wrapText="1"/>
    </xf>
    <xf numFmtId="0" fontId="21" fillId="4" borderId="47" xfId="0" applyFont="1" applyFill="1" applyBorder="1" applyAlignment="1">
      <alignment horizontal="center" wrapText="1"/>
    </xf>
    <xf numFmtId="0" fontId="21" fillId="11" borderId="53" xfId="0" applyFont="1" applyFill="1" applyBorder="1" applyAlignment="1">
      <alignment horizontal="center" wrapText="1"/>
    </xf>
    <xf numFmtId="0" fontId="24" fillId="11" borderId="41" xfId="0" applyFont="1" applyFill="1" applyBorder="1" applyAlignment="1">
      <alignment horizontal="center" vertical="center" wrapText="1"/>
    </xf>
    <xf numFmtId="0" fontId="21" fillId="11" borderId="41" xfId="0" applyFont="1" applyFill="1" applyBorder="1" applyAlignment="1">
      <alignment horizontal="center" wrapText="1"/>
    </xf>
    <xf numFmtId="0" fontId="21" fillId="4" borderId="21" xfId="0" applyFont="1" applyFill="1" applyBorder="1" applyAlignment="1">
      <alignment horizontal="center" wrapText="1"/>
    </xf>
    <xf numFmtId="0" fontId="21" fillId="4" borderId="41" xfId="0" applyFont="1" applyFill="1" applyBorder="1" applyAlignment="1">
      <alignment horizontal="center" wrapText="1"/>
    </xf>
    <xf numFmtId="0" fontId="21" fillId="11" borderId="21" xfId="0" applyFont="1" applyFill="1" applyBorder="1" applyAlignment="1">
      <alignment horizontal="center" wrapText="1"/>
    </xf>
    <xf numFmtId="0" fontId="21" fillId="4" borderId="39" xfId="0" applyFont="1" applyFill="1" applyBorder="1" applyAlignment="1">
      <alignment horizontal="center" wrapText="1"/>
    </xf>
    <xf numFmtId="0" fontId="21" fillId="4" borderId="6" xfId="0" applyFont="1" applyFill="1" applyBorder="1" applyAlignment="1">
      <alignment horizontal="center" wrapText="1"/>
    </xf>
    <xf numFmtId="0" fontId="21" fillId="4" borderId="46" xfId="0" applyFont="1" applyFill="1" applyBorder="1" applyAlignment="1">
      <alignment horizontal="center" wrapText="1"/>
    </xf>
    <xf numFmtId="0" fontId="21" fillId="11" borderId="6" xfId="0" applyFont="1" applyFill="1" applyBorder="1" applyAlignment="1">
      <alignment horizontal="center" wrapText="1"/>
    </xf>
    <xf numFmtId="9" fontId="21" fillId="11" borderId="6" xfId="0" applyNumberFormat="1" applyFont="1" applyFill="1" applyBorder="1" applyAlignment="1">
      <alignment horizontal="center" wrapText="1"/>
    </xf>
    <xf numFmtId="0" fontId="21" fillId="11" borderId="33" xfId="0" applyFont="1" applyFill="1" applyBorder="1" applyAlignment="1">
      <alignment horizontal="center" wrapText="1"/>
    </xf>
    <xf numFmtId="0" fontId="21" fillId="4" borderId="7" xfId="0" applyFont="1" applyFill="1" applyBorder="1" applyAlignment="1">
      <alignment horizontal="center" wrapText="1"/>
    </xf>
    <xf numFmtId="167" fontId="21" fillId="4" borderId="33" xfId="0" applyNumberFormat="1" applyFont="1" applyFill="1" applyBorder="1" applyAlignment="1">
      <alignment horizontal="center" wrapText="1"/>
    </xf>
    <xf numFmtId="0" fontId="21" fillId="11" borderId="39" xfId="0" applyFont="1" applyFill="1" applyBorder="1" applyAlignment="1">
      <alignment horizontal="center" wrapText="1"/>
    </xf>
    <xf numFmtId="0" fontId="21" fillId="11" borderId="7" xfId="0" applyFont="1" applyFill="1" applyBorder="1" applyAlignment="1">
      <alignment horizontal="center" wrapText="1"/>
    </xf>
    <xf numFmtId="0" fontId="43" fillId="23" borderId="0" xfId="0" applyFont="1" applyFill="1"/>
    <xf numFmtId="0" fontId="44" fillId="23" borderId="0" xfId="0" applyFont="1" applyFill="1"/>
    <xf numFmtId="0" fontId="43" fillId="2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4" fillId="23" borderId="0" xfId="0" applyFont="1" applyFill="1" applyAlignment="1">
      <alignment horizontal="center"/>
    </xf>
    <xf numFmtId="0" fontId="15" fillId="0" borderId="0" xfId="0" applyFont="1"/>
    <xf numFmtId="0" fontId="0" fillId="23" borderId="0" xfId="0" applyFill="1"/>
    <xf numFmtId="0" fontId="0" fillId="23" borderId="0" xfId="0" applyFill="1" applyAlignment="1">
      <alignment horizontal="center"/>
    </xf>
    <xf numFmtId="0" fontId="46" fillId="21" borderId="0" xfId="0" applyFont="1" applyFill="1"/>
    <xf numFmtId="0" fontId="25" fillId="19" borderId="0" xfId="0" applyFont="1" applyFill="1"/>
    <xf numFmtId="0" fontId="14" fillId="14" borderId="0" xfId="0" applyFont="1" applyFill="1"/>
    <xf numFmtId="0" fontId="47" fillId="7" borderId="0" xfId="0" applyFont="1" applyFill="1"/>
    <xf numFmtId="0" fontId="15" fillId="13" borderId="0" xfId="0" applyFont="1" applyFill="1"/>
    <xf numFmtId="0" fontId="45" fillId="23" borderId="0" xfId="0" applyFont="1" applyFill="1" applyAlignment="1">
      <alignment horizontal="center"/>
    </xf>
    <xf numFmtId="0" fontId="15" fillId="23" borderId="1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0" fillId="0" borderId="0" xfId="0" applyAlignment="1">
      <alignment horizontal="left" wrapText="1"/>
    </xf>
    <xf numFmtId="0" fontId="34" fillId="15" borderId="56" xfId="0" applyFont="1" applyFill="1" applyBorder="1" applyAlignment="1">
      <alignment horizontal="center" vertical="center" wrapText="1"/>
    </xf>
    <xf numFmtId="0" fontId="34" fillId="15" borderId="12" xfId="0" applyFont="1" applyFill="1" applyBorder="1" applyAlignment="1">
      <alignment horizontal="center" vertical="center" wrapText="1"/>
    </xf>
    <xf numFmtId="0" fontId="34" fillId="15" borderId="34" xfId="0" applyFont="1" applyFill="1" applyBorder="1" applyAlignment="1">
      <alignment horizontal="center" vertical="center" wrapText="1"/>
    </xf>
    <xf numFmtId="0" fontId="22" fillId="10" borderId="57" xfId="0" applyFont="1" applyFill="1" applyBorder="1" applyAlignment="1">
      <alignment horizontal="center" vertical="center" wrapText="1"/>
    </xf>
    <xf numFmtId="0" fontId="22" fillId="10" borderId="14" xfId="0" applyFont="1" applyFill="1" applyBorder="1" applyAlignment="1">
      <alignment horizontal="center" vertical="center" wrapText="1"/>
    </xf>
    <xf numFmtId="0" fontId="22" fillId="7" borderId="57" xfId="0" applyFont="1" applyFill="1" applyBorder="1" applyAlignment="1">
      <alignment horizontal="center" vertical="center" wrapText="1"/>
    </xf>
    <xf numFmtId="0" fontId="22" fillId="7" borderId="14" xfId="0" applyFont="1" applyFill="1" applyBorder="1" applyAlignment="1">
      <alignment horizontal="center" vertical="center" wrapText="1"/>
    </xf>
    <xf numFmtId="0" fontId="22" fillId="7" borderId="15" xfId="0" applyFont="1" applyFill="1" applyBorder="1" applyAlignment="1">
      <alignment horizontal="center" vertical="center" wrapText="1"/>
    </xf>
    <xf numFmtId="0" fontId="22" fillId="11" borderId="14" xfId="0" applyFont="1" applyFill="1" applyBorder="1" applyAlignment="1">
      <alignment horizontal="center" vertical="center" wrapText="1"/>
    </xf>
    <xf numFmtId="0" fontId="22" fillId="11" borderId="15" xfId="0" applyFont="1" applyFill="1" applyBorder="1" applyAlignment="1">
      <alignment horizontal="center" vertical="center" wrapText="1"/>
    </xf>
    <xf numFmtId="0" fontId="24" fillId="4" borderId="57" xfId="0" applyFont="1" applyFill="1" applyBorder="1" applyAlignment="1">
      <alignment horizontal="center" vertical="center" wrapText="1"/>
    </xf>
    <xf numFmtId="0" fontId="24" fillId="4" borderId="58" xfId="0" applyFont="1" applyFill="1" applyBorder="1" applyAlignment="1">
      <alignment horizontal="center" vertical="center" wrapText="1"/>
    </xf>
    <xf numFmtId="0" fontId="24" fillId="4" borderId="59" xfId="0" applyFont="1" applyFill="1" applyBorder="1" applyAlignment="1">
      <alignment horizontal="center" vertical="center" wrapText="1"/>
    </xf>
    <xf numFmtId="0" fontId="24" fillId="4" borderId="60" xfId="0" applyFont="1" applyFill="1" applyBorder="1" applyAlignment="1">
      <alignment horizontal="center" vertical="center" wrapText="1"/>
    </xf>
    <xf numFmtId="0" fontId="24" fillId="11" borderId="52" xfId="0" applyFont="1" applyFill="1" applyBorder="1" applyAlignment="1">
      <alignment horizontal="center" vertical="center" wrapText="1"/>
    </xf>
    <xf numFmtId="0" fontId="24" fillId="11" borderId="54" xfId="0" applyFont="1" applyFill="1" applyBorder="1" applyAlignment="1">
      <alignment horizontal="center" vertical="center" wrapText="1"/>
    </xf>
    <xf numFmtId="0" fontId="24" fillId="4" borderId="56" xfId="0" applyFont="1" applyFill="1" applyBorder="1" applyAlignment="1">
      <alignment horizontal="center" vertical="center" wrapText="1"/>
    </xf>
    <xf numFmtId="0" fontId="24" fillId="4" borderId="52" xfId="0" applyFont="1" applyFill="1" applyBorder="1" applyAlignment="1">
      <alignment horizontal="center" vertical="center" wrapText="1"/>
    </xf>
    <xf numFmtId="0" fontId="24" fillId="11" borderId="56" xfId="0" applyFont="1" applyFill="1" applyBorder="1" applyAlignment="1">
      <alignment horizontal="center" vertical="center" wrapText="1"/>
    </xf>
    <xf numFmtId="0" fontId="10" fillId="7" borderId="61" xfId="0" applyFont="1" applyFill="1" applyBorder="1" applyAlignment="1">
      <alignment horizontal="center" vertical="center" wrapText="1"/>
    </xf>
    <xf numFmtId="0" fontId="10" fillId="7" borderId="27" xfId="0" applyFont="1" applyFill="1" applyBorder="1" applyAlignment="1">
      <alignment horizontal="center" vertical="center" wrapText="1"/>
    </xf>
    <xf numFmtId="0" fontId="10" fillId="7" borderId="48" xfId="0" applyFont="1" applyFill="1" applyBorder="1" applyAlignment="1">
      <alignment horizontal="center" vertical="center" wrapText="1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1" fillId="0" borderId="5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60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4" borderId="18" xfId="0" applyFont="1" applyFill="1" applyBorder="1" applyAlignment="1">
      <alignment horizontal="center"/>
    </xf>
    <xf numFmtId="0" fontId="11" fillId="4" borderId="19" xfId="0" applyFont="1" applyFill="1" applyBorder="1" applyAlignment="1">
      <alignment horizontal="center"/>
    </xf>
    <xf numFmtId="0" fontId="11" fillId="4" borderId="20" xfId="0" applyFont="1" applyFill="1" applyBorder="1" applyAlignment="1">
      <alignment horizontal="center"/>
    </xf>
    <xf numFmtId="0" fontId="20" fillId="9" borderId="56" xfId="0" applyFont="1" applyFill="1" applyBorder="1" applyAlignment="1">
      <alignment horizontal="center" wrapText="1"/>
    </xf>
    <xf numFmtId="0" fontId="20" fillId="9" borderId="12" xfId="0" applyFont="1" applyFill="1" applyBorder="1" applyAlignment="1">
      <alignment horizontal="center" wrapText="1"/>
    </xf>
    <xf numFmtId="0" fontId="20" fillId="9" borderId="34" xfId="0" applyFont="1" applyFill="1" applyBorder="1" applyAlignment="1">
      <alignment horizontal="center" wrapText="1"/>
    </xf>
    <xf numFmtId="0" fontId="37" fillId="7" borderId="62" xfId="0" applyFont="1" applyFill="1" applyBorder="1" applyAlignment="1">
      <alignment horizontal="center" vertical="center"/>
    </xf>
    <xf numFmtId="0" fontId="37" fillId="7" borderId="10" xfId="0" applyFont="1" applyFill="1" applyBorder="1" applyAlignment="1">
      <alignment horizontal="center" vertical="center"/>
    </xf>
    <xf numFmtId="0" fontId="37" fillId="7" borderId="11" xfId="0" applyFont="1" applyFill="1" applyBorder="1" applyAlignment="1">
      <alignment horizontal="center" vertical="center"/>
    </xf>
    <xf numFmtId="0" fontId="37" fillId="7" borderId="58" xfId="0" applyFont="1" applyFill="1" applyBorder="1" applyAlignment="1">
      <alignment horizontal="center" vertical="center" wrapText="1"/>
    </xf>
    <xf numFmtId="0" fontId="37" fillId="7" borderId="59" xfId="0" applyFont="1" applyFill="1" applyBorder="1" applyAlignment="1">
      <alignment horizontal="center" vertical="center" wrapText="1"/>
    </xf>
    <xf numFmtId="0" fontId="37" fillId="7" borderId="60" xfId="0" applyFont="1" applyFill="1" applyBorder="1" applyAlignment="1">
      <alignment horizontal="center" vertical="center" wrapText="1"/>
    </xf>
    <xf numFmtId="0" fontId="28" fillId="5" borderId="13" xfId="0" applyFont="1" applyFill="1" applyBorder="1" applyAlignment="1">
      <alignment horizontal="center" vertical="center"/>
    </xf>
    <xf numFmtId="0" fontId="28" fillId="5" borderId="14" xfId="0" applyFont="1" applyFill="1" applyBorder="1" applyAlignment="1">
      <alignment horizontal="center" vertical="center"/>
    </xf>
    <xf numFmtId="0" fontId="28" fillId="5" borderId="15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1" fillId="4" borderId="16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 wrapText="1"/>
    </xf>
    <xf numFmtId="0" fontId="11" fillId="4" borderId="3" xfId="0" applyFont="1" applyFill="1" applyBorder="1" applyAlignment="1">
      <alignment horizontal="center" wrapText="1"/>
    </xf>
    <xf numFmtId="0" fontId="11" fillId="4" borderId="16" xfId="0" applyFont="1" applyFill="1" applyBorder="1" applyAlignment="1">
      <alignment horizontal="center" wrapText="1"/>
    </xf>
    <xf numFmtId="14" fontId="19" fillId="5" borderId="56" xfId="0" applyNumberFormat="1" applyFont="1" applyFill="1" applyBorder="1" applyAlignment="1">
      <alignment horizontal="center" vertical="center" wrapText="1"/>
    </xf>
    <xf numFmtId="14" fontId="19" fillId="5" borderId="12" xfId="0" applyNumberFormat="1" applyFont="1" applyFill="1" applyBorder="1" applyAlignment="1">
      <alignment horizontal="center" vertical="center" wrapText="1"/>
    </xf>
    <xf numFmtId="14" fontId="19" fillId="5" borderId="34" xfId="0" applyNumberFormat="1" applyFont="1" applyFill="1" applyBorder="1" applyAlignment="1">
      <alignment horizontal="center" vertical="center" wrapText="1"/>
    </xf>
    <xf numFmtId="14" fontId="19" fillId="5" borderId="58" xfId="0" applyNumberFormat="1" applyFont="1" applyFill="1" applyBorder="1" applyAlignment="1">
      <alignment horizontal="center" vertical="center" wrapText="1"/>
    </xf>
    <xf numFmtId="14" fontId="19" fillId="5" borderId="22" xfId="0" applyNumberFormat="1" applyFont="1" applyFill="1" applyBorder="1" applyAlignment="1">
      <alignment horizontal="center" vertical="center" wrapText="1"/>
    </xf>
    <xf numFmtId="14" fontId="19" fillId="5" borderId="26" xfId="0" applyNumberFormat="1" applyFont="1" applyFill="1" applyBorder="1" applyAlignment="1">
      <alignment horizontal="center" vertical="center" wrapText="1"/>
    </xf>
    <xf numFmtId="0" fontId="38" fillId="23" borderId="56" xfId="0" applyFont="1" applyFill="1" applyBorder="1" applyAlignment="1">
      <alignment horizontal="center" vertical="center" wrapText="1"/>
    </xf>
    <xf numFmtId="0" fontId="38" fillId="23" borderId="12" xfId="0" applyFont="1" applyFill="1" applyBorder="1" applyAlignment="1">
      <alignment horizontal="center" vertical="center" wrapText="1"/>
    </xf>
    <xf numFmtId="0" fontId="38" fillId="23" borderId="34" xfId="0" applyFont="1" applyFill="1" applyBorder="1" applyAlignment="1">
      <alignment horizontal="center" vertical="center" wrapText="1"/>
    </xf>
    <xf numFmtId="0" fontId="38" fillId="23" borderId="54" xfId="0" applyFont="1" applyFill="1" applyBorder="1" applyAlignment="1">
      <alignment horizontal="center" vertical="center" wrapText="1"/>
    </xf>
    <xf numFmtId="0" fontId="38" fillId="23" borderId="17" xfId="0" applyFont="1" applyFill="1" applyBorder="1" applyAlignment="1">
      <alignment horizontal="center" vertical="center" wrapText="1"/>
    </xf>
    <xf numFmtId="0" fontId="38" fillId="23" borderId="47" xfId="0" applyFont="1" applyFill="1" applyBorder="1" applyAlignment="1">
      <alignment horizontal="center" vertical="center" wrapText="1"/>
    </xf>
    <xf numFmtId="0" fontId="39" fillId="6" borderId="0" xfId="0" applyFont="1" applyFill="1" applyBorder="1" applyAlignment="1">
      <alignment horizontal="center"/>
    </xf>
    <xf numFmtId="0" fontId="39" fillId="6" borderId="53" xfId="0" applyFont="1" applyFill="1" applyBorder="1" applyAlignment="1">
      <alignment horizontal="center"/>
    </xf>
    <xf numFmtId="0" fontId="39" fillId="6" borderId="17" xfId="0" applyFont="1" applyFill="1" applyBorder="1" applyAlignment="1">
      <alignment horizontal="center"/>
    </xf>
    <xf numFmtId="0" fontId="39" fillId="6" borderId="47" xfId="0" applyFont="1" applyFill="1" applyBorder="1" applyAlignment="1">
      <alignment horizontal="center"/>
    </xf>
    <xf numFmtId="0" fontId="42" fillId="11" borderId="57" xfId="0" applyFont="1" applyFill="1" applyBorder="1" applyAlignment="1">
      <alignment horizontal="center" vertical="center" wrapText="1"/>
    </xf>
    <xf numFmtId="0" fontId="42" fillId="11" borderId="14" xfId="0" applyFont="1" applyFill="1" applyBorder="1" applyAlignment="1">
      <alignment horizontal="center" vertical="center" wrapText="1"/>
    </xf>
    <xf numFmtId="0" fontId="42" fillId="11" borderId="15" xfId="0" applyFont="1" applyFill="1" applyBorder="1" applyAlignment="1">
      <alignment horizontal="center" vertical="center" wrapText="1"/>
    </xf>
    <xf numFmtId="0" fontId="45" fillId="23" borderId="0" xfId="0" applyFont="1" applyFill="1" applyAlignment="1">
      <alignment horizontal="left" vertical="center" wrapText="1"/>
    </xf>
    <xf numFmtId="0" fontId="45" fillId="23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13" borderId="70" xfId="0" applyFont="1" applyFill="1" applyBorder="1" applyAlignment="1">
      <alignment horizontal="center" wrapText="1"/>
    </xf>
    <xf numFmtId="0" fontId="45" fillId="23" borderId="0" xfId="0" applyFont="1" applyFill="1" applyAlignment="1">
      <alignment horizontal="left" vertical="top" wrapText="1"/>
    </xf>
    <xf numFmtId="0" fontId="39" fillId="24" borderId="69" xfId="0" applyFont="1" applyFill="1" applyBorder="1" applyAlignment="1">
      <alignment horizontal="center"/>
    </xf>
    <xf numFmtId="0" fontId="39" fillId="24" borderId="70" xfId="0" applyFont="1" applyFill="1" applyBorder="1" applyAlignment="1">
      <alignment horizontal="center"/>
    </xf>
    <xf numFmtId="0" fontId="39" fillId="24" borderId="71" xfId="0" applyFont="1" applyFill="1" applyBorder="1" applyAlignment="1">
      <alignment horizontal="center"/>
    </xf>
    <xf numFmtId="0" fontId="39" fillId="24" borderId="29" xfId="0" applyFont="1" applyFill="1" applyBorder="1" applyAlignment="1">
      <alignment horizontal="center"/>
    </xf>
    <xf numFmtId="0" fontId="39" fillId="24" borderId="0" xfId="0" applyFont="1" applyFill="1" applyBorder="1" applyAlignment="1">
      <alignment horizontal="center"/>
    </xf>
    <xf numFmtId="0" fontId="39" fillId="24" borderId="68" xfId="0" applyFont="1" applyFill="1" applyBorder="1" applyAlignment="1">
      <alignment horizontal="center"/>
    </xf>
    <xf numFmtId="0" fontId="39" fillId="24" borderId="8" xfId="0" applyFont="1" applyFill="1" applyBorder="1" applyAlignment="1">
      <alignment horizontal="center"/>
    </xf>
    <xf numFmtId="0" fontId="39" fillId="24" borderId="22" xfId="0" applyFont="1" applyFill="1" applyBorder="1" applyAlignment="1">
      <alignment horizontal="center"/>
    </xf>
    <xf numFmtId="0" fontId="39" fillId="24" borderId="23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4" borderId="24" xfId="0" applyFill="1" applyBorder="1" applyAlignment="1">
      <alignment horizontal="center" wrapText="1"/>
    </xf>
    <xf numFmtId="0" fontId="13" fillId="4" borderId="2" xfId="0" applyFont="1" applyFill="1" applyBorder="1" applyAlignment="1">
      <alignment horizontal="center" wrapText="1"/>
    </xf>
    <xf numFmtId="0" fontId="13" fillId="4" borderId="3" xfId="0" applyFont="1" applyFill="1" applyBorder="1" applyAlignment="1">
      <alignment horizontal="center" wrapText="1"/>
    </xf>
    <xf numFmtId="0" fontId="13" fillId="4" borderId="24" xfId="0" applyFont="1" applyFill="1" applyBorder="1" applyAlignment="1">
      <alignment horizontal="center" wrapText="1"/>
    </xf>
    <xf numFmtId="0" fontId="15" fillId="23" borderId="2" xfId="0" applyFont="1" applyFill="1" applyBorder="1" applyAlignment="1">
      <alignment horizontal="center" wrapText="1"/>
    </xf>
    <xf numFmtId="0" fontId="15" fillId="23" borderId="24" xfId="0" applyFont="1" applyFill="1" applyBorder="1" applyAlignment="1">
      <alignment horizontal="center" wrapText="1"/>
    </xf>
  </cellXfs>
  <cellStyles count="4">
    <cellStyle name="Comma" xfId="1" builtinId="3"/>
    <cellStyle name="Normal" xfId="0" builtinId="0"/>
    <cellStyle name="Normal 2" xfId="2" xr:uid="{00000000-0005-0000-0000-000002000000}"/>
    <cellStyle name="Percent" xfId="3" builtinId="5"/>
  </cellStyles>
  <dxfs count="183">
    <dxf>
      <font>
        <b/>
        <i val="0"/>
        <color theme="9" tint="-0.499984740745262"/>
      </font>
      <fill>
        <patternFill>
          <bgColor rgb="FFFFFF99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rgb="FFFFFF99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rgb="FFFFFF99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rgb="FFFFFF99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rgb="FFFFFF99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rgb="FFFFFF99"/>
        </pattern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>
          <bgColor theme="0"/>
        </patternFill>
      </fill>
    </dxf>
    <dxf>
      <font>
        <b/>
        <i val="0"/>
        <color theme="9" tint="-0.2499465926084170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99"/>
      <color rgb="FFFFFFC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661582</xdr:colOff>
      <xdr:row>0</xdr:row>
      <xdr:rowOff>32173</xdr:rowOff>
    </xdr:from>
    <xdr:ext cx="5090176" cy="71846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30809" y="32173"/>
          <a:ext cx="5090176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4000" b="1" cap="none" spc="0">
              <a:ln w="11430"/>
              <a:solidFill>
                <a:schemeClr val="accent2">
                  <a:lumMod val="20000"/>
                  <a:lumOff val="80000"/>
                </a:schemeClr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Process Dev. Scorecard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218982</xdr:colOff>
      <xdr:row>0</xdr:row>
      <xdr:rowOff>95250</xdr:rowOff>
    </xdr:from>
    <xdr:ext cx="7385099" cy="59330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A1B9BE6-ABEA-4074-A5F7-604884A59F4E}"/>
            </a:ext>
          </a:extLst>
        </xdr:cNvPr>
        <xdr:cNvSpPr/>
      </xdr:nvSpPr>
      <xdr:spPr>
        <a:xfrm>
          <a:off x="218982" y="95250"/>
          <a:ext cx="738509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3200" b="1" cap="none" spc="0">
              <a:ln w="11430"/>
              <a:solidFill>
                <a:schemeClr val="accent2">
                  <a:lumMod val="20000"/>
                  <a:lumOff val="80000"/>
                </a:schemeClr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Process Development Checklist and Status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V425"/>
  <sheetViews>
    <sheetView tabSelected="1" workbookViewId="0">
      <selection activeCell="F1" sqref="F1"/>
    </sheetView>
  </sheetViews>
  <sheetFormatPr baseColWidth="10" defaultColWidth="9.1640625" defaultRowHeight="14" x14ac:dyDescent="0.15"/>
  <cols>
    <col min="1" max="1" width="15.1640625" style="55" customWidth="1"/>
    <col min="2" max="2" width="16" style="55" customWidth="1"/>
    <col min="3" max="3" width="42.1640625" style="56" customWidth="1"/>
    <col min="4" max="4" width="19.5" style="56" customWidth="1"/>
    <col min="5" max="5" width="51" style="59" bestFit="1" customWidth="1"/>
    <col min="6" max="6" width="14.1640625" style="57" customWidth="1"/>
    <col min="7" max="7" width="13.83203125" style="58" customWidth="1"/>
    <col min="8" max="8" width="11.33203125" style="56" customWidth="1"/>
    <col min="9" max="9" width="16.1640625" style="56" customWidth="1"/>
    <col min="10" max="10" width="16" style="56" customWidth="1"/>
    <col min="11" max="11" width="16.1640625" style="56" customWidth="1"/>
    <col min="12" max="12" width="10.6640625" style="56" customWidth="1"/>
    <col min="13" max="13" width="32.1640625" style="56" bestFit="1" customWidth="1"/>
    <col min="14" max="14" width="22.1640625" style="56" customWidth="1"/>
    <col min="15" max="15" width="11.5" style="56" customWidth="1"/>
    <col min="16" max="18" width="11.5" style="59" customWidth="1"/>
    <col min="19" max="19" width="31.1640625" style="56" hidden="1" customWidth="1"/>
    <col min="20" max="20" width="31.1640625" style="60" hidden="1" customWidth="1"/>
    <col min="21" max="21" width="56.6640625" style="60" hidden="1" customWidth="1"/>
    <col min="22" max="31" width="7.1640625" style="55" hidden="1" customWidth="1"/>
    <col min="32" max="32" width="0" style="61" hidden="1" customWidth="1"/>
    <col min="33" max="33" width="19.33203125" style="61" customWidth="1"/>
    <col min="34" max="34" width="35.1640625" style="56" bestFit="1" customWidth="1"/>
    <col min="35" max="35" width="35.5" style="55" bestFit="1" customWidth="1"/>
    <col min="36" max="36" width="19.6640625" style="62" customWidth="1"/>
    <col min="37" max="16384" width="9.1640625" style="55"/>
  </cols>
  <sheetData>
    <row r="1" spans="1:74" ht="81.5" customHeight="1" x14ac:dyDescent="0.15"/>
    <row r="2" spans="1:74" s="265" customFormat="1" x14ac:dyDescent="0.15">
      <c r="B2" s="286" t="s">
        <v>134</v>
      </c>
      <c r="C2" s="266"/>
      <c r="D2" s="266"/>
      <c r="E2" s="269"/>
      <c r="F2" s="267"/>
      <c r="G2" s="268"/>
      <c r="H2" s="266"/>
      <c r="I2" s="266"/>
      <c r="J2" s="266"/>
      <c r="K2" s="266"/>
      <c r="L2" s="266"/>
      <c r="M2" s="266"/>
      <c r="N2" s="266"/>
      <c r="O2" s="266"/>
      <c r="P2" s="269"/>
      <c r="Q2" s="269"/>
      <c r="R2" s="269"/>
      <c r="S2" s="266"/>
      <c r="T2" s="270"/>
      <c r="U2" s="270"/>
      <c r="AH2" s="266"/>
      <c r="AI2" s="266"/>
      <c r="AJ2" s="271"/>
    </row>
    <row r="3" spans="1:74" s="289" customFormat="1" x14ac:dyDescent="0.15">
      <c r="A3" s="286" t="s">
        <v>45</v>
      </c>
      <c r="B3" s="287"/>
      <c r="C3" s="305" t="s">
        <v>46</v>
      </c>
      <c r="D3" s="302"/>
      <c r="E3" s="305" t="s">
        <v>132</v>
      </c>
      <c r="F3" s="303"/>
      <c r="G3" s="304"/>
      <c r="H3" s="304"/>
      <c r="I3" s="304"/>
      <c r="J3" s="305" t="s">
        <v>133</v>
      </c>
      <c r="K3" s="304"/>
      <c r="L3" s="290"/>
      <c r="M3" s="290"/>
      <c r="N3" s="290"/>
      <c r="O3" s="288"/>
      <c r="P3" s="291"/>
      <c r="Q3" s="291"/>
      <c r="R3" s="291"/>
      <c r="S3" s="288"/>
      <c r="T3" s="292"/>
      <c r="U3" s="292"/>
      <c r="AH3" s="288"/>
      <c r="AI3" s="288"/>
      <c r="AJ3" s="293"/>
    </row>
    <row r="4" spans="1:74" ht="15" thickBot="1" x14ac:dyDescent="0.2"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I4" s="56"/>
      <c r="AJ4" s="56"/>
    </row>
    <row r="5" spans="1:74" ht="38" thickBot="1" x14ac:dyDescent="0.2">
      <c r="B5" s="378" t="s">
        <v>137</v>
      </c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80"/>
      <c r="N5" s="295"/>
      <c r="O5" s="296"/>
      <c r="P5" s="296"/>
      <c r="Q5" s="296"/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5"/>
      <c r="AI5" s="56"/>
      <c r="AJ5" s="55"/>
    </row>
    <row r="6" spans="1:74" ht="30" thickBot="1" x14ac:dyDescent="0.2">
      <c r="B6" s="272"/>
      <c r="C6" s="381" t="s">
        <v>47</v>
      </c>
      <c r="D6" s="382"/>
      <c r="E6" s="382"/>
      <c r="F6" s="383" t="s">
        <v>48</v>
      </c>
      <c r="G6" s="384"/>
      <c r="H6" s="384"/>
      <c r="I6" s="384"/>
      <c r="J6" s="384"/>
      <c r="K6" s="384"/>
      <c r="L6" s="384"/>
      <c r="M6" s="385"/>
      <c r="N6" s="63"/>
      <c r="O6" s="386" t="s">
        <v>49</v>
      </c>
      <c r="P6" s="386"/>
      <c r="Q6" s="386"/>
      <c r="R6" s="386"/>
      <c r="S6" s="386"/>
      <c r="T6" s="386"/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6"/>
      <c r="AF6" s="386"/>
      <c r="AG6" s="387"/>
      <c r="AH6" s="297"/>
      <c r="AI6" s="56"/>
      <c r="AJ6" s="55"/>
    </row>
    <row r="7" spans="1:74" s="77" customFormat="1" ht="120" thickBot="1" x14ac:dyDescent="0.2">
      <c r="A7" s="64" t="s">
        <v>50</v>
      </c>
      <c r="B7" s="298" t="s">
        <v>95</v>
      </c>
      <c r="C7" s="65" t="s">
        <v>96</v>
      </c>
      <c r="D7" s="66" t="s">
        <v>97</v>
      </c>
      <c r="E7" s="67" t="s">
        <v>100</v>
      </c>
      <c r="F7" s="299" t="s">
        <v>124</v>
      </c>
      <c r="G7" s="300" t="s">
        <v>125</v>
      </c>
      <c r="H7" s="301" t="s">
        <v>126</v>
      </c>
      <c r="I7" s="300" t="s">
        <v>138</v>
      </c>
      <c r="J7" s="300" t="s">
        <v>139</v>
      </c>
      <c r="K7" s="306" t="s">
        <v>140</v>
      </c>
      <c r="L7" s="68" t="s">
        <v>52</v>
      </c>
      <c r="M7" s="69" t="s">
        <v>53</v>
      </c>
      <c r="N7" s="70" t="s">
        <v>54</v>
      </c>
      <c r="O7" s="71" t="s">
        <v>55</v>
      </c>
      <c r="P7" s="72" t="s">
        <v>56</v>
      </c>
      <c r="Q7" s="72" t="s">
        <v>57</v>
      </c>
      <c r="R7" s="72" t="s">
        <v>127</v>
      </c>
      <c r="S7" s="72" t="s">
        <v>51</v>
      </c>
      <c r="T7" s="73" t="s">
        <v>58</v>
      </c>
      <c r="U7" s="73" t="s">
        <v>59</v>
      </c>
      <c r="V7" s="73" t="s">
        <v>60</v>
      </c>
      <c r="W7" s="73" t="s">
        <v>61</v>
      </c>
      <c r="X7" s="73" t="s">
        <v>62</v>
      </c>
      <c r="Y7" s="73" t="s">
        <v>63</v>
      </c>
      <c r="Z7" s="73" t="s">
        <v>64</v>
      </c>
      <c r="AA7" s="73" t="s">
        <v>65</v>
      </c>
      <c r="AB7" s="73" t="s">
        <v>66</v>
      </c>
      <c r="AC7" s="73" t="s">
        <v>67</v>
      </c>
      <c r="AD7" s="74" t="s">
        <v>68</v>
      </c>
      <c r="AE7" s="74" t="s">
        <v>69</v>
      </c>
      <c r="AF7" s="72" t="s">
        <v>70</v>
      </c>
      <c r="AG7" s="75" t="s">
        <v>123</v>
      </c>
      <c r="AH7" s="76" t="s">
        <v>71</v>
      </c>
    </row>
    <row r="8" spans="1:74" s="91" customFormat="1" ht="18.5" customHeight="1" x14ac:dyDescent="0.2">
      <c r="A8" s="77">
        <v>1</v>
      </c>
      <c r="B8" s="388" t="s">
        <v>135</v>
      </c>
      <c r="C8" s="78"/>
      <c r="D8" s="79"/>
      <c r="E8" s="273" t="s">
        <v>88</v>
      </c>
      <c r="F8" s="80">
        <v>5</v>
      </c>
      <c r="G8" s="81">
        <v>1</v>
      </c>
      <c r="H8" s="82">
        <f t="shared" ref="H8:H38" si="0">PRODUCT(F8:G8)</f>
        <v>5</v>
      </c>
      <c r="I8" s="80">
        <v>5</v>
      </c>
      <c r="J8" s="81">
        <v>7</v>
      </c>
      <c r="K8" s="82">
        <f t="shared" ref="K8:K38" si="1">PRODUCT(I8:J8)</f>
        <v>35</v>
      </c>
      <c r="L8" s="82">
        <f t="shared" ref="L8:L38" si="2">IF(H8&gt;K8,H8,K8)</f>
        <v>35</v>
      </c>
      <c r="M8" s="82" t="s">
        <v>72</v>
      </c>
      <c r="N8" s="82"/>
      <c r="O8" s="83"/>
      <c r="P8" s="84"/>
      <c r="Q8" s="84"/>
      <c r="R8" s="84" t="s">
        <v>128</v>
      </c>
      <c r="S8" s="85"/>
      <c r="T8" s="86"/>
      <c r="U8" s="86"/>
      <c r="V8" s="86"/>
      <c r="W8" s="86"/>
      <c r="X8" s="86"/>
      <c r="Y8" s="86"/>
      <c r="Z8" s="86"/>
      <c r="AA8" s="86"/>
      <c r="AB8" s="86"/>
      <c r="AC8" s="86"/>
      <c r="AD8" s="87"/>
      <c r="AE8" s="87"/>
      <c r="AF8" s="88" t="s">
        <v>73</v>
      </c>
      <c r="AG8" s="89"/>
      <c r="AH8" s="90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</row>
    <row r="9" spans="1:74" s="91" customFormat="1" ht="18.5" customHeight="1" x14ac:dyDescent="0.2">
      <c r="A9" s="77">
        <v>2</v>
      </c>
      <c r="B9" s="389"/>
      <c r="C9" s="92"/>
      <c r="D9" s="93"/>
      <c r="E9" s="274" t="s">
        <v>88</v>
      </c>
      <c r="F9" s="94"/>
      <c r="G9" s="95"/>
      <c r="H9" s="96">
        <f t="shared" si="0"/>
        <v>0</v>
      </c>
      <c r="I9" s="94"/>
      <c r="J9" s="95"/>
      <c r="K9" s="96">
        <f t="shared" si="1"/>
        <v>0</v>
      </c>
      <c r="L9" s="96">
        <f t="shared" si="2"/>
        <v>0</v>
      </c>
      <c r="M9" s="96" t="s">
        <v>90</v>
      </c>
      <c r="N9" s="96"/>
      <c r="O9" s="97"/>
      <c r="P9" s="98"/>
      <c r="Q9" s="98"/>
      <c r="R9" s="98"/>
      <c r="S9" s="99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1"/>
      <c r="AE9" s="101"/>
      <c r="AF9" s="102" t="s">
        <v>73</v>
      </c>
      <c r="AG9" s="103"/>
      <c r="AH9" s="104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</row>
    <row r="10" spans="1:74" s="91" customFormat="1" ht="18.5" customHeight="1" x14ac:dyDescent="0.2">
      <c r="A10" s="77">
        <v>3</v>
      </c>
      <c r="B10" s="389"/>
      <c r="C10" s="92"/>
      <c r="D10" s="93"/>
      <c r="E10" s="274" t="s">
        <v>111</v>
      </c>
      <c r="F10" s="94"/>
      <c r="G10" s="95"/>
      <c r="H10" s="96">
        <f t="shared" si="0"/>
        <v>0</v>
      </c>
      <c r="I10" s="94"/>
      <c r="J10" s="95"/>
      <c r="K10" s="96">
        <f t="shared" si="1"/>
        <v>0</v>
      </c>
      <c r="L10" s="96">
        <f t="shared" si="2"/>
        <v>0</v>
      </c>
      <c r="M10" s="96" t="s">
        <v>91</v>
      </c>
      <c r="N10" s="96"/>
      <c r="O10" s="97"/>
      <c r="P10" s="98"/>
      <c r="Q10" s="98"/>
      <c r="R10" s="98"/>
      <c r="S10" s="99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1"/>
      <c r="AE10" s="101"/>
      <c r="AF10" s="102" t="s">
        <v>73</v>
      </c>
      <c r="AG10" s="103"/>
      <c r="AH10" s="104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</row>
    <row r="11" spans="1:74" s="91" customFormat="1" ht="18.5" customHeight="1" x14ac:dyDescent="0.2">
      <c r="A11" s="77">
        <v>4</v>
      </c>
      <c r="B11" s="390"/>
      <c r="C11" s="105"/>
      <c r="D11" s="106"/>
      <c r="E11" s="275" t="s">
        <v>112</v>
      </c>
      <c r="F11" s="94"/>
      <c r="G11" s="95"/>
      <c r="H11" s="96">
        <f t="shared" si="0"/>
        <v>0</v>
      </c>
      <c r="I11" s="94"/>
      <c r="J11" s="95"/>
      <c r="K11" s="96">
        <f t="shared" si="1"/>
        <v>0</v>
      </c>
      <c r="L11" s="96">
        <f t="shared" si="2"/>
        <v>0</v>
      </c>
      <c r="M11" s="96" t="s">
        <v>101</v>
      </c>
      <c r="N11" s="96"/>
      <c r="O11" s="97"/>
      <c r="P11" s="98"/>
      <c r="Q11" s="98"/>
      <c r="R11" s="98"/>
      <c r="S11" s="99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1"/>
      <c r="AE11" s="101"/>
      <c r="AF11" s="102" t="s">
        <v>73</v>
      </c>
      <c r="AG11" s="103"/>
      <c r="AH11" s="104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</row>
    <row r="12" spans="1:74" s="91" customFormat="1" ht="18.5" customHeight="1" thickBot="1" x14ac:dyDescent="0.25">
      <c r="A12" s="77">
        <v>5</v>
      </c>
      <c r="B12" s="391"/>
      <c r="C12" s="107"/>
      <c r="D12" s="108"/>
      <c r="E12" s="276" t="s">
        <v>114</v>
      </c>
      <c r="F12" s="109"/>
      <c r="G12" s="110"/>
      <c r="H12" s="111">
        <f t="shared" si="0"/>
        <v>0</v>
      </c>
      <c r="I12" s="109"/>
      <c r="J12" s="110"/>
      <c r="K12" s="111">
        <f t="shared" si="1"/>
        <v>0</v>
      </c>
      <c r="L12" s="111">
        <f t="shared" si="2"/>
        <v>0</v>
      </c>
      <c r="M12" s="112"/>
      <c r="N12" s="112"/>
      <c r="O12" s="113"/>
      <c r="P12" s="114"/>
      <c r="Q12" s="114"/>
      <c r="R12" s="114"/>
      <c r="S12" s="115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7"/>
      <c r="AE12" s="117"/>
      <c r="AF12" s="118" t="s">
        <v>73</v>
      </c>
      <c r="AG12" s="119"/>
      <c r="AH12" s="120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</row>
    <row r="13" spans="1:74" s="91" customFormat="1" ht="18.5" customHeight="1" x14ac:dyDescent="0.2">
      <c r="A13" s="77">
        <v>6</v>
      </c>
      <c r="B13" s="392" t="s">
        <v>98</v>
      </c>
      <c r="C13" s="121"/>
      <c r="D13" s="122"/>
      <c r="E13" s="277"/>
      <c r="F13" s="123"/>
      <c r="G13" s="124"/>
      <c r="H13" s="125">
        <f t="shared" si="0"/>
        <v>0</v>
      </c>
      <c r="I13" s="123"/>
      <c r="J13" s="124"/>
      <c r="K13" s="125">
        <f t="shared" si="1"/>
        <v>0</v>
      </c>
      <c r="L13" s="125">
        <f t="shared" si="2"/>
        <v>0</v>
      </c>
      <c r="M13" s="125"/>
      <c r="N13" s="126"/>
      <c r="O13" s="127"/>
      <c r="P13" s="128"/>
      <c r="Q13" s="128"/>
      <c r="R13" s="128"/>
      <c r="S13" s="129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30"/>
      <c r="AE13" s="130"/>
      <c r="AF13" s="131" t="s">
        <v>73</v>
      </c>
      <c r="AG13" s="132"/>
      <c r="AH13" s="133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</row>
    <row r="14" spans="1:74" s="91" customFormat="1" ht="18.5" customHeight="1" x14ac:dyDescent="0.2">
      <c r="A14" s="77">
        <v>7</v>
      </c>
      <c r="B14" s="392"/>
      <c r="C14" s="121"/>
      <c r="D14" s="122"/>
      <c r="E14" s="277"/>
      <c r="F14" s="134"/>
      <c r="G14" s="135"/>
      <c r="H14" s="136">
        <f t="shared" si="0"/>
        <v>0</v>
      </c>
      <c r="I14" s="134"/>
      <c r="J14" s="135"/>
      <c r="K14" s="136">
        <f t="shared" si="1"/>
        <v>0</v>
      </c>
      <c r="L14" s="136">
        <f t="shared" si="2"/>
        <v>0</v>
      </c>
      <c r="M14" s="136"/>
      <c r="N14" s="137"/>
      <c r="O14" s="127"/>
      <c r="P14" s="128"/>
      <c r="Q14" s="138"/>
      <c r="R14" s="138"/>
      <c r="S14" s="129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30"/>
      <c r="AE14" s="130"/>
      <c r="AF14" s="131" t="s">
        <v>73</v>
      </c>
      <c r="AG14" s="132"/>
      <c r="AH14" s="133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</row>
    <row r="15" spans="1:74" s="91" customFormat="1" ht="18.5" customHeight="1" x14ac:dyDescent="0.2">
      <c r="A15" s="77">
        <v>8</v>
      </c>
      <c r="B15" s="392"/>
      <c r="C15" s="121"/>
      <c r="D15" s="122"/>
      <c r="E15" s="277"/>
      <c r="F15" s="134"/>
      <c r="G15" s="135"/>
      <c r="H15" s="136">
        <f t="shared" si="0"/>
        <v>0</v>
      </c>
      <c r="I15" s="134"/>
      <c r="J15" s="135"/>
      <c r="K15" s="136">
        <f t="shared" si="1"/>
        <v>0</v>
      </c>
      <c r="L15" s="136">
        <f t="shared" si="2"/>
        <v>0</v>
      </c>
      <c r="M15" s="136"/>
      <c r="N15" s="137"/>
      <c r="O15" s="127"/>
      <c r="P15" s="128"/>
      <c r="Q15" s="128"/>
      <c r="R15" s="128"/>
      <c r="S15" s="129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30"/>
      <c r="AE15" s="130"/>
      <c r="AF15" s="131" t="s">
        <v>73</v>
      </c>
      <c r="AG15" s="132"/>
      <c r="AH15" s="133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</row>
    <row r="16" spans="1:74" s="91" customFormat="1" ht="18.5" customHeight="1" x14ac:dyDescent="0.2">
      <c r="A16" s="77">
        <v>9</v>
      </c>
      <c r="B16" s="392"/>
      <c r="C16" s="121"/>
      <c r="D16" s="122"/>
      <c r="E16" s="277"/>
      <c r="F16" s="134"/>
      <c r="G16" s="135"/>
      <c r="H16" s="136">
        <f t="shared" si="0"/>
        <v>0</v>
      </c>
      <c r="I16" s="134"/>
      <c r="J16" s="135"/>
      <c r="K16" s="136">
        <f t="shared" si="1"/>
        <v>0</v>
      </c>
      <c r="L16" s="136">
        <f t="shared" si="2"/>
        <v>0</v>
      </c>
      <c r="M16" s="136"/>
      <c r="N16" s="137"/>
      <c r="O16" s="127"/>
      <c r="P16" s="128"/>
      <c r="Q16" s="138"/>
      <c r="R16" s="138"/>
      <c r="S16" s="129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30"/>
      <c r="AE16" s="130"/>
      <c r="AF16" s="131" t="s">
        <v>73</v>
      </c>
      <c r="AG16" s="132"/>
      <c r="AH16" s="133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</row>
    <row r="17" spans="1:74" s="91" customFormat="1" ht="18.5" customHeight="1" thickBot="1" x14ac:dyDescent="0.25">
      <c r="A17" s="77">
        <v>10</v>
      </c>
      <c r="B17" s="393"/>
      <c r="C17" s="139"/>
      <c r="D17" s="140"/>
      <c r="E17" s="278"/>
      <c r="F17" s="141"/>
      <c r="G17" s="142"/>
      <c r="H17" s="143">
        <f t="shared" si="0"/>
        <v>0</v>
      </c>
      <c r="I17" s="141"/>
      <c r="J17" s="142"/>
      <c r="K17" s="143">
        <f t="shared" si="1"/>
        <v>0</v>
      </c>
      <c r="L17" s="143">
        <f t="shared" si="2"/>
        <v>0</v>
      </c>
      <c r="M17" s="143"/>
      <c r="N17" s="144"/>
      <c r="O17" s="145"/>
      <c r="P17" s="146"/>
      <c r="Q17" s="146"/>
      <c r="R17" s="146"/>
      <c r="S17" s="147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9"/>
      <c r="AE17" s="149"/>
      <c r="AF17" s="150" t="s">
        <v>74</v>
      </c>
      <c r="AG17" s="151"/>
      <c r="AH17" s="152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</row>
    <row r="18" spans="1:74" ht="18.5" customHeight="1" x14ac:dyDescent="0.2">
      <c r="A18" s="77">
        <v>11</v>
      </c>
      <c r="B18" s="394" t="s">
        <v>99</v>
      </c>
      <c r="C18" s="153"/>
      <c r="D18" s="79"/>
      <c r="E18" s="275"/>
      <c r="F18" s="80"/>
      <c r="G18" s="81"/>
      <c r="H18" s="82">
        <f t="shared" si="0"/>
        <v>0</v>
      </c>
      <c r="I18" s="80"/>
      <c r="J18" s="81"/>
      <c r="K18" s="82">
        <f t="shared" si="1"/>
        <v>0</v>
      </c>
      <c r="L18" s="82">
        <f t="shared" si="2"/>
        <v>0</v>
      </c>
      <c r="M18" s="82"/>
      <c r="N18" s="82"/>
      <c r="O18" s="83"/>
      <c r="P18" s="84"/>
      <c r="Q18" s="84"/>
      <c r="R18" s="84"/>
      <c r="S18" s="85" t="s">
        <v>75</v>
      </c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154"/>
      <c r="AE18" s="154"/>
      <c r="AF18" s="88" t="s">
        <v>73</v>
      </c>
      <c r="AG18" s="89"/>
      <c r="AH18" s="90"/>
      <c r="AJ18" s="55"/>
    </row>
    <row r="19" spans="1:74" ht="18.5" customHeight="1" x14ac:dyDescent="0.2">
      <c r="A19" s="77">
        <v>12</v>
      </c>
      <c r="B19" s="395"/>
      <c r="C19" s="105"/>
      <c r="D19" s="106"/>
      <c r="E19" s="275"/>
      <c r="F19" s="94"/>
      <c r="G19" s="95"/>
      <c r="H19" s="96">
        <f t="shared" si="0"/>
        <v>0</v>
      </c>
      <c r="I19" s="94"/>
      <c r="J19" s="95"/>
      <c r="K19" s="96">
        <f t="shared" si="1"/>
        <v>0</v>
      </c>
      <c r="L19" s="96">
        <f t="shared" si="2"/>
        <v>0</v>
      </c>
      <c r="M19" s="96"/>
      <c r="N19" s="96"/>
      <c r="O19" s="155"/>
      <c r="P19" s="156"/>
      <c r="Q19" s="156"/>
      <c r="R19" s="156"/>
      <c r="S19" s="157" t="s">
        <v>75</v>
      </c>
      <c r="T19" s="158"/>
      <c r="U19" s="158"/>
      <c r="V19" s="158"/>
      <c r="W19" s="158"/>
      <c r="X19" s="158"/>
      <c r="Y19" s="158"/>
      <c r="Z19" s="158"/>
      <c r="AA19" s="158"/>
      <c r="AB19" s="158"/>
      <c r="AC19" s="158"/>
      <c r="AD19" s="159"/>
      <c r="AE19" s="159"/>
      <c r="AF19" s="160" t="s">
        <v>73</v>
      </c>
      <c r="AG19" s="161"/>
      <c r="AH19" s="162"/>
      <c r="AJ19" s="55"/>
    </row>
    <row r="20" spans="1:74" ht="18.5" customHeight="1" thickBot="1" x14ac:dyDescent="0.25">
      <c r="A20" s="77">
        <v>13</v>
      </c>
      <c r="B20" s="395"/>
      <c r="C20" s="105"/>
      <c r="D20" s="106"/>
      <c r="E20" s="275"/>
      <c r="F20" s="163"/>
      <c r="G20" s="164"/>
      <c r="H20" s="112">
        <f t="shared" si="0"/>
        <v>0</v>
      </c>
      <c r="I20" s="163"/>
      <c r="J20" s="164"/>
      <c r="K20" s="112">
        <f t="shared" si="1"/>
        <v>0</v>
      </c>
      <c r="L20" s="112">
        <f t="shared" si="2"/>
        <v>0</v>
      </c>
      <c r="M20" s="112"/>
      <c r="N20" s="112"/>
      <c r="O20" s="165"/>
      <c r="P20" s="166"/>
      <c r="Q20" s="167"/>
      <c r="R20" s="167"/>
      <c r="S20" s="16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9"/>
      <c r="AE20" s="149"/>
      <c r="AF20" s="169" t="s">
        <v>73</v>
      </c>
      <c r="AG20" s="170"/>
      <c r="AH20" s="171"/>
      <c r="AJ20" s="55"/>
    </row>
    <row r="21" spans="1:74" s="91" customFormat="1" ht="18.5" customHeight="1" x14ac:dyDescent="0.15">
      <c r="A21" s="77">
        <v>14</v>
      </c>
      <c r="B21" s="396" t="s">
        <v>121</v>
      </c>
      <c r="C21" s="172"/>
      <c r="D21" s="173"/>
      <c r="E21" s="279"/>
      <c r="F21" s="134"/>
      <c r="G21" s="135"/>
      <c r="H21" s="174">
        <f t="shared" si="0"/>
        <v>0</v>
      </c>
      <c r="I21" s="134"/>
      <c r="J21" s="135"/>
      <c r="K21" s="174">
        <f t="shared" si="1"/>
        <v>0</v>
      </c>
      <c r="L21" s="174">
        <f t="shared" si="2"/>
        <v>0</v>
      </c>
      <c r="M21" s="125"/>
      <c r="N21" s="125"/>
      <c r="O21" s="175"/>
      <c r="P21" s="176"/>
      <c r="Q21" s="176"/>
      <c r="R21" s="176"/>
      <c r="S21" s="177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154"/>
      <c r="AE21" s="154"/>
      <c r="AF21" s="178" t="s">
        <v>73</v>
      </c>
      <c r="AG21" s="179"/>
      <c r="AH21" s="180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</row>
    <row r="22" spans="1:74" s="91" customFormat="1" ht="18.5" customHeight="1" x14ac:dyDescent="0.2">
      <c r="A22" s="77">
        <v>15</v>
      </c>
      <c r="B22" s="392"/>
      <c r="C22" s="181"/>
      <c r="D22" s="182"/>
      <c r="E22" s="280"/>
      <c r="F22" s="134"/>
      <c r="G22" s="135"/>
      <c r="H22" s="136">
        <f t="shared" si="0"/>
        <v>0</v>
      </c>
      <c r="I22" s="134"/>
      <c r="J22" s="135"/>
      <c r="K22" s="136">
        <f t="shared" si="1"/>
        <v>0</v>
      </c>
      <c r="L22" s="136">
        <f t="shared" si="2"/>
        <v>0</v>
      </c>
      <c r="M22" s="136"/>
      <c r="N22" s="136"/>
      <c r="O22" s="183"/>
      <c r="P22" s="184"/>
      <c r="Q22" s="184"/>
      <c r="R22" s="184"/>
      <c r="S22" s="185" t="s">
        <v>75</v>
      </c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9"/>
      <c r="AE22" s="159"/>
      <c r="AF22" s="186" t="s">
        <v>73</v>
      </c>
      <c r="AG22" s="132"/>
      <c r="AH22" s="187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</row>
    <row r="23" spans="1:74" s="91" customFormat="1" ht="18.5" customHeight="1" x14ac:dyDescent="0.2">
      <c r="A23" s="77">
        <v>16</v>
      </c>
      <c r="B23" s="392"/>
      <c r="C23" s="181"/>
      <c r="D23" s="182"/>
      <c r="E23" s="280"/>
      <c r="F23" s="134"/>
      <c r="G23" s="135"/>
      <c r="H23" s="136">
        <f t="shared" si="0"/>
        <v>0</v>
      </c>
      <c r="I23" s="134"/>
      <c r="J23" s="135"/>
      <c r="K23" s="136">
        <f t="shared" si="1"/>
        <v>0</v>
      </c>
      <c r="L23" s="136">
        <f t="shared" si="2"/>
        <v>0</v>
      </c>
      <c r="M23" s="136"/>
      <c r="N23" s="136"/>
      <c r="O23" s="183"/>
      <c r="P23" s="184"/>
      <c r="Q23" s="184"/>
      <c r="R23" s="184"/>
      <c r="S23" s="185" t="s">
        <v>75</v>
      </c>
      <c r="T23" s="158"/>
      <c r="U23" s="158"/>
      <c r="V23" s="158"/>
      <c r="W23" s="158"/>
      <c r="X23" s="158"/>
      <c r="Y23" s="158"/>
      <c r="Z23" s="158"/>
      <c r="AA23" s="158"/>
      <c r="AB23" s="158"/>
      <c r="AC23" s="158"/>
      <c r="AD23" s="159"/>
      <c r="AE23" s="159"/>
      <c r="AF23" s="186"/>
      <c r="AG23" s="132"/>
      <c r="AH23" s="187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</row>
    <row r="24" spans="1:74" s="91" customFormat="1" ht="18.5" customHeight="1" x14ac:dyDescent="0.2">
      <c r="A24" s="77">
        <v>17</v>
      </c>
      <c r="B24" s="392"/>
      <c r="C24" s="181"/>
      <c r="D24" s="182"/>
      <c r="E24" s="280"/>
      <c r="F24" s="134"/>
      <c r="G24" s="135"/>
      <c r="H24" s="136">
        <f t="shared" si="0"/>
        <v>0</v>
      </c>
      <c r="I24" s="134"/>
      <c r="J24" s="135"/>
      <c r="K24" s="136">
        <f t="shared" si="1"/>
        <v>0</v>
      </c>
      <c r="L24" s="136">
        <f t="shared" si="2"/>
        <v>0</v>
      </c>
      <c r="M24" s="136"/>
      <c r="N24" s="136"/>
      <c r="O24" s="183"/>
      <c r="P24" s="184"/>
      <c r="Q24" s="184"/>
      <c r="R24" s="184"/>
      <c r="S24" s="185"/>
      <c r="T24" s="158"/>
      <c r="U24" s="158"/>
      <c r="V24" s="158"/>
      <c r="W24" s="158"/>
      <c r="X24" s="158"/>
      <c r="Y24" s="158"/>
      <c r="Z24" s="158"/>
      <c r="AA24" s="158"/>
      <c r="AB24" s="158"/>
      <c r="AC24" s="158"/>
      <c r="AD24" s="159"/>
      <c r="AE24" s="159"/>
      <c r="AF24" s="186"/>
      <c r="AG24" s="132"/>
      <c r="AH24" s="187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</row>
    <row r="25" spans="1:74" s="91" customFormat="1" ht="18.5" customHeight="1" x14ac:dyDescent="0.2">
      <c r="A25" s="77">
        <v>18</v>
      </c>
      <c r="B25" s="392"/>
      <c r="C25" s="181"/>
      <c r="D25" s="182"/>
      <c r="E25" s="280"/>
      <c r="F25" s="134"/>
      <c r="G25" s="135"/>
      <c r="H25" s="136">
        <f t="shared" si="0"/>
        <v>0</v>
      </c>
      <c r="I25" s="134"/>
      <c r="J25" s="135"/>
      <c r="K25" s="136">
        <f t="shared" si="1"/>
        <v>0</v>
      </c>
      <c r="L25" s="136">
        <f t="shared" si="2"/>
        <v>0</v>
      </c>
      <c r="M25" s="136"/>
      <c r="N25" s="136"/>
      <c r="O25" s="183"/>
      <c r="P25" s="184"/>
      <c r="Q25" s="184"/>
      <c r="R25" s="184"/>
      <c r="S25" s="185" t="s">
        <v>75</v>
      </c>
      <c r="T25" s="158"/>
      <c r="U25" s="158"/>
      <c r="V25" s="158"/>
      <c r="W25" s="158"/>
      <c r="X25" s="158"/>
      <c r="Y25" s="158"/>
      <c r="Z25" s="158"/>
      <c r="AA25" s="158"/>
      <c r="AB25" s="158"/>
      <c r="AC25" s="158"/>
      <c r="AD25" s="159"/>
      <c r="AE25" s="159"/>
      <c r="AF25" s="186"/>
      <c r="AG25" s="132"/>
      <c r="AH25" s="187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</row>
    <row r="26" spans="1:74" s="91" customFormat="1" ht="18.5" customHeight="1" x14ac:dyDescent="0.2">
      <c r="A26" s="77">
        <v>19</v>
      </c>
      <c r="B26" s="392"/>
      <c r="C26" s="181"/>
      <c r="D26" s="182"/>
      <c r="E26" s="280"/>
      <c r="F26" s="134"/>
      <c r="G26" s="135"/>
      <c r="H26" s="136">
        <f t="shared" si="0"/>
        <v>0</v>
      </c>
      <c r="I26" s="134"/>
      <c r="J26" s="135"/>
      <c r="K26" s="136">
        <f t="shared" si="1"/>
        <v>0</v>
      </c>
      <c r="L26" s="136">
        <f t="shared" si="2"/>
        <v>0</v>
      </c>
      <c r="M26" s="136"/>
      <c r="N26" s="136"/>
      <c r="O26" s="183"/>
      <c r="P26" s="184"/>
      <c r="Q26" s="184"/>
      <c r="R26" s="184"/>
      <c r="S26" s="185" t="s">
        <v>75</v>
      </c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9"/>
      <c r="AE26" s="159"/>
      <c r="AF26" s="186"/>
      <c r="AG26" s="132"/>
      <c r="AH26" s="187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</row>
    <row r="27" spans="1:74" s="91" customFormat="1" ht="18.5" customHeight="1" x14ac:dyDescent="0.2">
      <c r="A27" s="77">
        <v>20</v>
      </c>
      <c r="B27" s="392"/>
      <c r="C27" s="181"/>
      <c r="D27" s="182"/>
      <c r="E27" s="280"/>
      <c r="F27" s="134"/>
      <c r="G27" s="135"/>
      <c r="H27" s="136">
        <f t="shared" si="0"/>
        <v>0</v>
      </c>
      <c r="I27" s="134"/>
      <c r="J27" s="135"/>
      <c r="K27" s="136">
        <f t="shared" si="1"/>
        <v>0</v>
      </c>
      <c r="L27" s="136">
        <f t="shared" si="2"/>
        <v>0</v>
      </c>
      <c r="M27" s="136"/>
      <c r="N27" s="136"/>
      <c r="O27" s="183"/>
      <c r="P27" s="184"/>
      <c r="Q27" s="184"/>
      <c r="R27" s="184"/>
      <c r="S27" s="185" t="s">
        <v>75</v>
      </c>
      <c r="T27" s="158"/>
      <c r="U27" s="158"/>
      <c r="V27" s="158"/>
      <c r="W27" s="158"/>
      <c r="X27" s="158"/>
      <c r="Y27" s="158"/>
      <c r="Z27" s="158"/>
      <c r="AA27" s="158"/>
      <c r="AB27" s="158"/>
      <c r="AC27" s="158"/>
      <c r="AD27" s="159"/>
      <c r="AE27" s="159"/>
      <c r="AF27" s="186"/>
      <c r="AG27" s="188"/>
      <c r="AH27" s="187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</row>
    <row r="28" spans="1:74" s="91" customFormat="1" ht="18.5" customHeight="1" thickBot="1" x14ac:dyDescent="0.25">
      <c r="A28" s="77">
        <v>21</v>
      </c>
      <c r="B28" s="393"/>
      <c r="C28" s="139"/>
      <c r="D28" s="140"/>
      <c r="E28" s="278"/>
      <c r="F28" s="189"/>
      <c r="G28" s="190"/>
      <c r="H28" s="191">
        <f t="shared" si="0"/>
        <v>0</v>
      </c>
      <c r="I28" s="189"/>
      <c r="J28" s="190"/>
      <c r="K28" s="191">
        <f t="shared" si="1"/>
        <v>0</v>
      </c>
      <c r="L28" s="191">
        <f t="shared" si="2"/>
        <v>0</v>
      </c>
      <c r="M28" s="143"/>
      <c r="N28" s="143"/>
      <c r="O28" s="145"/>
      <c r="P28" s="146"/>
      <c r="Q28" s="146"/>
      <c r="R28" s="146"/>
      <c r="S28" s="147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9"/>
      <c r="AE28" s="149"/>
      <c r="AF28" s="150"/>
      <c r="AG28" s="151"/>
      <c r="AH28" s="152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</row>
    <row r="29" spans="1:74" s="91" customFormat="1" ht="18.5" customHeight="1" x14ac:dyDescent="0.2">
      <c r="A29" s="77">
        <v>22</v>
      </c>
      <c r="B29" s="394" t="s">
        <v>136</v>
      </c>
      <c r="C29" s="153"/>
      <c r="D29" s="79"/>
      <c r="E29" s="275"/>
      <c r="F29" s="80"/>
      <c r="G29" s="81"/>
      <c r="H29" s="82">
        <f>PRODUCT(F29:G29)</f>
        <v>0</v>
      </c>
      <c r="I29" s="80"/>
      <c r="J29" s="81"/>
      <c r="K29" s="82">
        <f>PRODUCT(I29:J29)</f>
        <v>0</v>
      </c>
      <c r="L29" s="82">
        <f>IF(H29&gt;K29,H29,K29)</f>
        <v>0</v>
      </c>
      <c r="M29" s="82"/>
      <c r="N29" s="82"/>
      <c r="O29" s="83"/>
      <c r="P29" s="84"/>
      <c r="Q29" s="84"/>
      <c r="R29" s="84"/>
      <c r="S29" s="85" t="s">
        <v>75</v>
      </c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154"/>
      <c r="AE29" s="154"/>
      <c r="AF29" s="88" t="s">
        <v>73</v>
      </c>
      <c r="AG29" s="89"/>
      <c r="AH29" s="90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</row>
    <row r="30" spans="1:74" s="91" customFormat="1" ht="18.5" customHeight="1" x14ac:dyDescent="0.2">
      <c r="A30" s="77">
        <v>23</v>
      </c>
      <c r="B30" s="395"/>
      <c r="C30" s="105"/>
      <c r="D30" s="106"/>
      <c r="E30" s="275"/>
      <c r="F30" s="94"/>
      <c r="G30" s="95"/>
      <c r="H30" s="96">
        <f>PRODUCT(F30:G30)</f>
        <v>0</v>
      </c>
      <c r="I30" s="94"/>
      <c r="J30" s="95"/>
      <c r="K30" s="96">
        <f>PRODUCT(I30:J30)</f>
        <v>0</v>
      </c>
      <c r="L30" s="96">
        <f>IF(H30&gt;K30,H30,K30)</f>
        <v>0</v>
      </c>
      <c r="M30" s="96"/>
      <c r="N30" s="96"/>
      <c r="O30" s="155"/>
      <c r="P30" s="156"/>
      <c r="Q30" s="156"/>
      <c r="R30" s="156"/>
      <c r="S30" s="157" t="s">
        <v>75</v>
      </c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9"/>
      <c r="AE30" s="159"/>
      <c r="AF30" s="160" t="s">
        <v>73</v>
      </c>
      <c r="AG30" s="161"/>
      <c r="AH30" s="162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</row>
    <row r="31" spans="1:74" s="91" customFormat="1" ht="18.5" customHeight="1" thickBot="1" x14ac:dyDescent="0.25">
      <c r="A31" s="77">
        <v>24</v>
      </c>
      <c r="B31" s="395"/>
      <c r="C31" s="105"/>
      <c r="D31" s="106"/>
      <c r="E31" s="275"/>
      <c r="F31" s="163"/>
      <c r="G31" s="164"/>
      <c r="H31" s="112">
        <f>PRODUCT(F31:G31)</f>
        <v>0</v>
      </c>
      <c r="I31" s="163"/>
      <c r="J31" s="164"/>
      <c r="K31" s="112">
        <f>PRODUCT(I31:J31)</f>
        <v>0</v>
      </c>
      <c r="L31" s="112">
        <f>IF(H31&gt;K31,H31,K31)</f>
        <v>0</v>
      </c>
      <c r="M31" s="112"/>
      <c r="N31" s="112"/>
      <c r="O31" s="165"/>
      <c r="P31" s="166"/>
      <c r="Q31" s="167"/>
      <c r="R31" s="167"/>
      <c r="S31" s="16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9"/>
      <c r="AE31" s="149"/>
      <c r="AF31" s="169" t="s">
        <v>73</v>
      </c>
      <c r="AG31" s="170"/>
      <c r="AH31" s="171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</row>
    <row r="32" spans="1:74" ht="18.5" customHeight="1" x14ac:dyDescent="0.15">
      <c r="A32" s="77">
        <v>25</v>
      </c>
      <c r="B32" s="396" t="s">
        <v>122</v>
      </c>
      <c r="C32" s="172"/>
      <c r="D32" s="173"/>
      <c r="E32" s="279"/>
      <c r="F32" s="123"/>
      <c r="G32" s="124"/>
      <c r="H32" s="125">
        <f t="shared" si="0"/>
        <v>0</v>
      </c>
      <c r="I32" s="123"/>
      <c r="J32" s="124"/>
      <c r="K32" s="125">
        <f t="shared" si="1"/>
        <v>0</v>
      </c>
      <c r="L32" s="125">
        <f t="shared" si="2"/>
        <v>0</v>
      </c>
      <c r="M32" s="125"/>
      <c r="N32" s="125"/>
      <c r="O32" s="175"/>
      <c r="P32" s="176"/>
      <c r="Q32" s="176"/>
      <c r="R32" s="176"/>
      <c r="S32" s="177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154"/>
      <c r="AE32" s="154"/>
      <c r="AF32" s="178"/>
      <c r="AG32" s="179"/>
      <c r="AH32" s="180"/>
      <c r="AJ32" s="55"/>
    </row>
    <row r="33" spans="1:36" ht="18.5" customHeight="1" x14ac:dyDescent="0.2">
      <c r="A33" s="77">
        <v>26</v>
      </c>
      <c r="B33" s="392"/>
      <c r="C33" s="181"/>
      <c r="D33" s="182"/>
      <c r="E33" s="280"/>
      <c r="F33" s="134"/>
      <c r="G33" s="135"/>
      <c r="H33" s="136">
        <f t="shared" si="0"/>
        <v>0</v>
      </c>
      <c r="I33" s="134"/>
      <c r="J33" s="135"/>
      <c r="K33" s="136">
        <f t="shared" si="1"/>
        <v>0</v>
      </c>
      <c r="L33" s="136">
        <f t="shared" si="2"/>
        <v>0</v>
      </c>
      <c r="M33" s="136"/>
      <c r="N33" s="136"/>
      <c r="O33" s="183"/>
      <c r="P33" s="184"/>
      <c r="Q33" s="184"/>
      <c r="R33" s="184"/>
      <c r="S33" s="185"/>
      <c r="T33" s="158"/>
      <c r="U33" s="158"/>
      <c r="V33" s="158"/>
      <c r="W33" s="158"/>
      <c r="X33" s="158"/>
      <c r="Y33" s="158"/>
      <c r="Z33" s="158"/>
      <c r="AA33" s="158"/>
      <c r="AB33" s="158"/>
      <c r="AC33" s="158"/>
      <c r="AD33" s="159"/>
      <c r="AE33" s="159"/>
      <c r="AF33" s="186"/>
      <c r="AG33" s="132"/>
      <c r="AH33" s="187"/>
      <c r="AJ33" s="55"/>
    </row>
    <row r="34" spans="1:36" ht="18.5" customHeight="1" x14ac:dyDescent="0.2">
      <c r="A34" s="77">
        <v>27</v>
      </c>
      <c r="B34" s="392"/>
      <c r="C34" s="181"/>
      <c r="D34" s="182"/>
      <c r="E34" s="280"/>
      <c r="F34" s="134"/>
      <c r="G34" s="135"/>
      <c r="H34" s="136">
        <f t="shared" si="0"/>
        <v>0</v>
      </c>
      <c r="I34" s="134"/>
      <c r="J34" s="135"/>
      <c r="K34" s="136">
        <f t="shared" si="1"/>
        <v>0</v>
      </c>
      <c r="L34" s="136">
        <f t="shared" si="2"/>
        <v>0</v>
      </c>
      <c r="M34" s="136"/>
      <c r="N34" s="136"/>
      <c r="O34" s="183"/>
      <c r="P34" s="184"/>
      <c r="Q34" s="184"/>
      <c r="R34" s="184"/>
      <c r="S34" s="185"/>
      <c r="T34" s="158"/>
      <c r="U34" s="158"/>
      <c r="V34" s="158"/>
      <c r="W34" s="158"/>
      <c r="X34" s="158"/>
      <c r="Y34" s="158"/>
      <c r="Z34" s="158"/>
      <c r="AA34" s="158"/>
      <c r="AB34" s="158"/>
      <c r="AC34" s="158"/>
      <c r="AD34" s="159"/>
      <c r="AE34" s="159"/>
      <c r="AF34" s="186" t="s">
        <v>73</v>
      </c>
      <c r="AG34" s="132"/>
      <c r="AH34" s="187"/>
      <c r="AJ34" s="55"/>
    </row>
    <row r="35" spans="1:36" ht="18.5" customHeight="1" x14ac:dyDescent="0.2">
      <c r="A35" s="77">
        <v>28</v>
      </c>
      <c r="B35" s="392"/>
      <c r="C35" s="181"/>
      <c r="D35" s="182"/>
      <c r="E35" s="280"/>
      <c r="F35" s="134"/>
      <c r="G35" s="135"/>
      <c r="H35" s="136">
        <f t="shared" si="0"/>
        <v>0</v>
      </c>
      <c r="I35" s="134"/>
      <c r="J35" s="135"/>
      <c r="K35" s="136">
        <f t="shared" si="1"/>
        <v>0</v>
      </c>
      <c r="L35" s="136">
        <f t="shared" si="2"/>
        <v>0</v>
      </c>
      <c r="M35" s="136"/>
      <c r="N35" s="136"/>
      <c r="O35" s="183"/>
      <c r="P35" s="184"/>
      <c r="Q35" s="184"/>
      <c r="R35" s="184"/>
      <c r="S35" s="185"/>
      <c r="T35" s="158"/>
      <c r="U35" s="158"/>
      <c r="V35" s="158"/>
      <c r="W35" s="158"/>
      <c r="X35" s="158"/>
      <c r="Y35" s="158"/>
      <c r="Z35" s="158"/>
      <c r="AA35" s="158"/>
      <c r="AB35" s="158"/>
      <c r="AC35" s="158"/>
      <c r="AD35" s="159"/>
      <c r="AE35" s="159"/>
      <c r="AF35" s="186"/>
      <c r="AG35" s="132"/>
      <c r="AH35" s="187"/>
      <c r="AJ35" s="55"/>
    </row>
    <row r="36" spans="1:36" ht="18.5" customHeight="1" x14ac:dyDescent="0.2">
      <c r="A36" s="77">
        <v>29</v>
      </c>
      <c r="B36" s="392"/>
      <c r="C36" s="181"/>
      <c r="D36" s="182"/>
      <c r="E36" s="280"/>
      <c r="F36" s="134"/>
      <c r="G36" s="135"/>
      <c r="H36" s="136">
        <f t="shared" si="0"/>
        <v>0</v>
      </c>
      <c r="I36" s="134"/>
      <c r="J36" s="135"/>
      <c r="K36" s="136">
        <f t="shared" si="1"/>
        <v>0</v>
      </c>
      <c r="L36" s="136">
        <f t="shared" si="2"/>
        <v>0</v>
      </c>
      <c r="M36" s="136"/>
      <c r="N36" s="136"/>
      <c r="O36" s="183"/>
      <c r="P36" s="184"/>
      <c r="Q36" s="184"/>
      <c r="R36" s="184"/>
      <c r="S36" s="185" t="s">
        <v>75</v>
      </c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9"/>
      <c r="AE36" s="159"/>
      <c r="AF36" s="186"/>
      <c r="AG36" s="132"/>
      <c r="AH36" s="187"/>
      <c r="AJ36" s="55"/>
    </row>
    <row r="37" spans="1:36" ht="18.5" customHeight="1" x14ac:dyDescent="0.2">
      <c r="A37" s="77">
        <v>30</v>
      </c>
      <c r="B37" s="392"/>
      <c r="C37" s="181"/>
      <c r="D37" s="182"/>
      <c r="E37" s="280"/>
      <c r="F37" s="134"/>
      <c r="G37" s="135"/>
      <c r="H37" s="136">
        <f t="shared" si="0"/>
        <v>0</v>
      </c>
      <c r="I37" s="134"/>
      <c r="J37" s="135"/>
      <c r="K37" s="136">
        <f t="shared" si="1"/>
        <v>0</v>
      </c>
      <c r="L37" s="136">
        <f t="shared" si="2"/>
        <v>0</v>
      </c>
      <c r="M37" s="136"/>
      <c r="N37" s="136"/>
      <c r="O37" s="183"/>
      <c r="P37" s="184"/>
      <c r="Q37" s="184"/>
      <c r="R37" s="184"/>
      <c r="S37" s="185" t="s">
        <v>75</v>
      </c>
      <c r="T37" s="158"/>
      <c r="U37" s="158"/>
      <c r="V37" s="158"/>
      <c r="W37" s="158"/>
      <c r="X37" s="158"/>
      <c r="Y37" s="158"/>
      <c r="Z37" s="158"/>
      <c r="AA37" s="158"/>
      <c r="AB37" s="158"/>
      <c r="AC37" s="158"/>
      <c r="AD37" s="159"/>
      <c r="AE37" s="159"/>
      <c r="AF37" s="186"/>
      <c r="AG37" s="132"/>
      <c r="AH37" s="187"/>
      <c r="AJ37" s="55"/>
    </row>
    <row r="38" spans="1:36" ht="18.5" customHeight="1" thickBot="1" x14ac:dyDescent="0.25">
      <c r="A38" s="77">
        <v>31</v>
      </c>
      <c r="B38" s="393"/>
      <c r="C38" s="139"/>
      <c r="D38" s="140"/>
      <c r="E38" s="278"/>
      <c r="F38" s="141"/>
      <c r="G38" s="142"/>
      <c r="H38" s="143">
        <f t="shared" si="0"/>
        <v>0</v>
      </c>
      <c r="I38" s="141"/>
      <c r="J38" s="142"/>
      <c r="K38" s="143">
        <f t="shared" si="1"/>
        <v>0</v>
      </c>
      <c r="L38" s="143">
        <f t="shared" si="2"/>
        <v>0</v>
      </c>
      <c r="M38" s="143"/>
      <c r="N38" s="143"/>
      <c r="O38" s="145"/>
      <c r="P38" s="146"/>
      <c r="Q38" s="146"/>
      <c r="R38" s="146"/>
      <c r="S38" s="147" t="s">
        <v>75</v>
      </c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9"/>
      <c r="AE38" s="149"/>
      <c r="AF38" s="150"/>
      <c r="AG38" s="151"/>
      <c r="AH38" s="152"/>
      <c r="AJ38" s="55"/>
    </row>
    <row r="39" spans="1:36" x14ac:dyDescent="0.15">
      <c r="B39" s="192" t="s">
        <v>120</v>
      </c>
      <c r="AF39" s="55"/>
      <c r="AG39" s="55"/>
    </row>
    <row r="40" spans="1:36" x14ac:dyDescent="0.15">
      <c r="A40" s="193"/>
      <c r="B40" s="193"/>
      <c r="C40" s="62"/>
      <c r="D40" s="62"/>
      <c r="H40" s="62"/>
      <c r="I40" s="62"/>
      <c r="J40" s="62"/>
      <c r="K40" s="62"/>
      <c r="L40" s="62"/>
      <c r="M40" s="62"/>
      <c r="N40" s="62"/>
      <c r="O40" s="62"/>
      <c r="S40" s="62"/>
      <c r="T40" s="55"/>
      <c r="U40" s="55"/>
      <c r="AF40" s="55"/>
      <c r="AG40" s="55"/>
      <c r="AH40" s="62"/>
    </row>
    <row r="41" spans="1:36" ht="16" thickBot="1" x14ac:dyDescent="0.25">
      <c r="A41" s="193"/>
      <c r="B41" s="194" t="s">
        <v>76</v>
      </c>
      <c r="C41" s="195"/>
      <c r="D41" s="195"/>
      <c r="E41" s="195"/>
      <c r="F41" s="196"/>
      <c r="G41" s="195"/>
      <c r="H41" s="195"/>
      <c r="I41" s="195"/>
      <c r="J41" s="3"/>
      <c r="K41" s="62"/>
      <c r="L41" s="62"/>
      <c r="M41" s="62"/>
      <c r="N41" s="62"/>
      <c r="O41" s="62"/>
      <c r="S41" s="62"/>
      <c r="T41" s="55"/>
      <c r="U41" s="55"/>
      <c r="AF41" s="55"/>
      <c r="AG41" s="55"/>
      <c r="AH41" s="62"/>
      <c r="AJ41" s="55"/>
    </row>
    <row r="42" spans="1:36" ht="16" thickBot="1" x14ac:dyDescent="0.25">
      <c r="A42" s="193"/>
      <c r="B42" s="397" t="s">
        <v>77</v>
      </c>
      <c r="C42" s="197" t="s">
        <v>78</v>
      </c>
      <c r="D42" s="197" t="s">
        <v>79</v>
      </c>
      <c r="E42" s="400"/>
      <c r="F42" s="401"/>
      <c r="G42" s="401"/>
      <c r="H42" s="401"/>
      <c r="I42" s="402"/>
      <c r="J42" s="3"/>
      <c r="K42" s="62"/>
      <c r="L42" s="62"/>
      <c r="M42" s="62"/>
      <c r="N42" s="62"/>
      <c r="O42" s="62"/>
      <c r="S42" s="62"/>
      <c r="T42" s="55"/>
      <c r="U42" s="55"/>
      <c r="AF42" s="55"/>
      <c r="AG42" s="55"/>
      <c r="AH42" s="62"/>
      <c r="AJ42" s="55"/>
    </row>
    <row r="43" spans="1:36" ht="15" x14ac:dyDescent="0.2">
      <c r="A43" s="193"/>
      <c r="B43" s="398"/>
      <c r="C43" s="198">
        <v>10</v>
      </c>
      <c r="D43" s="199" t="s">
        <v>80</v>
      </c>
      <c r="E43" s="403" t="s">
        <v>109</v>
      </c>
      <c r="F43" s="404"/>
      <c r="G43" s="404"/>
      <c r="H43" s="404"/>
      <c r="I43" s="405"/>
      <c r="J43" s="3"/>
      <c r="K43" s="62"/>
      <c r="L43" s="62"/>
      <c r="M43" s="62"/>
      <c r="N43" s="62"/>
      <c r="O43" s="62"/>
      <c r="S43" s="62"/>
      <c r="T43" s="55"/>
      <c r="U43" s="55"/>
      <c r="AF43" s="55"/>
      <c r="AG43" s="55"/>
      <c r="AH43" s="62"/>
      <c r="AJ43" s="55"/>
    </row>
    <row r="44" spans="1:36" ht="15" customHeight="1" x14ac:dyDescent="0.2">
      <c r="A44" s="193"/>
      <c r="B44" s="398"/>
      <c r="C44" s="200">
        <v>7</v>
      </c>
      <c r="D44" s="199" t="s">
        <v>81</v>
      </c>
      <c r="E44" s="406" t="s">
        <v>105</v>
      </c>
      <c r="F44" s="407"/>
      <c r="G44" s="407"/>
      <c r="H44" s="407"/>
      <c r="I44" s="408"/>
      <c r="J44" s="3"/>
      <c r="K44" s="62"/>
      <c r="L44" s="62"/>
      <c r="M44" s="62"/>
      <c r="N44" s="62"/>
      <c r="O44" s="62"/>
      <c r="S44" s="62"/>
      <c r="T44" s="55"/>
      <c r="U44" s="55"/>
      <c r="AF44" s="55"/>
      <c r="AG44" s="55"/>
      <c r="AH44" s="62"/>
      <c r="AJ44" s="55"/>
    </row>
    <row r="45" spans="1:36" ht="15" x14ac:dyDescent="0.2">
      <c r="A45" s="193"/>
      <c r="B45" s="398"/>
      <c r="C45" s="201">
        <v>5</v>
      </c>
      <c r="D45" s="199" t="s">
        <v>82</v>
      </c>
      <c r="E45" s="406" t="s">
        <v>106</v>
      </c>
      <c r="F45" s="407"/>
      <c r="G45" s="407"/>
      <c r="H45" s="407"/>
      <c r="I45" s="408"/>
      <c r="J45" s="3"/>
      <c r="K45" s="62"/>
      <c r="L45" s="62"/>
      <c r="M45" s="62"/>
      <c r="N45" s="62"/>
      <c r="O45" s="62"/>
      <c r="S45" s="62"/>
      <c r="T45" s="55"/>
      <c r="U45" s="55"/>
      <c r="AF45" s="55"/>
      <c r="AG45" s="55"/>
      <c r="AH45" s="62"/>
      <c r="AJ45" s="55"/>
    </row>
    <row r="46" spans="1:36" ht="15" x14ac:dyDescent="0.2">
      <c r="A46" s="193"/>
      <c r="B46" s="398"/>
      <c r="C46" s="202">
        <v>3</v>
      </c>
      <c r="D46" s="199" t="s">
        <v>83</v>
      </c>
      <c r="E46" s="406" t="s">
        <v>107</v>
      </c>
      <c r="F46" s="407"/>
      <c r="G46" s="407"/>
      <c r="H46" s="407"/>
      <c r="I46" s="408"/>
      <c r="J46" s="3"/>
      <c r="K46" s="62"/>
      <c r="L46" s="62"/>
      <c r="M46" s="62"/>
      <c r="N46" s="62"/>
      <c r="O46" s="62"/>
      <c r="S46" s="62"/>
      <c r="T46" s="55"/>
      <c r="U46" s="55"/>
      <c r="AF46" s="55"/>
      <c r="AG46" s="55"/>
      <c r="AH46" s="62"/>
      <c r="AJ46" s="55"/>
    </row>
    <row r="47" spans="1:36" ht="16" thickBot="1" x14ac:dyDescent="0.25">
      <c r="A47" s="193"/>
      <c r="B47" s="399"/>
      <c r="C47" s="203">
        <v>1</v>
      </c>
      <c r="D47" s="204" t="s">
        <v>84</v>
      </c>
      <c r="E47" s="409" t="s">
        <v>108</v>
      </c>
      <c r="F47" s="410"/>
      <c r="G47" s="410"/>
      <c r="H47" s="410"/>
      <c r="I47" s="411"/>
      <c r="J47" s="3"/>
      <c r="K47" s="62"/>
      <c r="L47" s="62"/>
      <c r="M47" s="62"/>
      <c r="N47" s="62"/>
      <c r="O47" s="62"/>
      <c r="S47" s="62"/>
      <c r="T47" s="55"/>
      <c r="U47" s="55"/>
      <c r="AF47" s="55"/>
      <c r="AG47" s="55"/>
      <c r="AH47" s="62"/>
      <c r="AJ47" s="55"/>
    </row>
    <row r="48" spans="1:36" ht="16" thickBot="1" x14ac:dyDescent="0.25">
      <c r="A48" s="193"/>
      <c r="B48" s="205"/>
      <c r="C48" s="206"/>
      <c r="D48" s="205"/>
      <c r="E48" s="205"/>
      <c r="F48" s="207"/>
      <c r="G48" s="3"/>
      <c r="H48" s="3"/>
      <c r="I48" s="3"/>
      <c r="J48" s="3"/>
      <c r="K48" s="62"/>
      <c r="L48" s="62"/>
      <c r="M48" s="62"/>
      <c r="N48" s="62"/>
      <c r="O48" s="62"/>
      <c r="S48" s="62"/>
      <c r="T48" s="55"/>
      <c r="U48" s="55"/>
      <c r="AF48" s="55"/>
      <c r="AG48" s="55"/>
      <c r="AH48" s="62"/>
      <c r="AJ48" s="55"/>
    </row>
    <row r="49" spans="1:36" ht="16" thickBot="1" x14ac:dyDescent="0.25">
      <c r="A49" s="193"/>
      <c r="B49" s="397" t="s">
        <v>141</v>
      </c>
      <c r="C49" s="197" t="s">
        <v>78</v>
      </c>
      <c r="D49" s="197" t="s">
        <v>79</v>
      </c>
      <c r="E49" s="400" t="s">
        <v>142</v>
      </c>
      <c r="F49" s="401"/>
      <c r="G49" s="401"/>
      <c r="H49" s="401"/>
      <c r="I49" s="402"/>
      <c r="J49" s="3"/>
      <c r="K49" s="62"/>
      <c r="L49" s="62"/>
      <c r="M49" s="62"/>
      <c r="N49" s="62"/>
      <c r="O49" s="62"/>
      <c r="S49" s="62"/>
      <c r="T49" s="55"/>
      <c r="U49" s="55"/>
      <c r="AF49" s="55"/>
      <c r="AG49" s="55"/>
      <c r="AH49" s="62"/>
      <c r="AJ49" s="55"/>
    </row>
    <row r="50" spans="1:36" ht="15" x14ac:dyDescent="0.2">
      <c r="A50" s="193"/>
      <c r="B50" s="398"/>
      <c r="C50" s="198">
        <v>10</v>
      </c>
      <c r="D50" s="199" t="s">
        <v>80</v>
      </c>
      <c r="E50" s="403" t="s">
        <v>115</v>
      </c>
      <c r="F50" s="404"/>
      <c r="G50" s="404"/>
      <c r="H50" s="404"/>
      <c r="I50" s="405"/>
      <c r="J50" s="3"/>
      <c r="U50" s="55"/>
      <c r="AF50" s="55"/>
      <c r="AG50" s="55"/>
      <c r="AJ50" s="55"/>
    </row>
    <row r="51" spans="1:36" ht="15" x14ac:dyDescent="0.2">
      <c r="A51" s="193"/>
      <c r="B51" s="398"/>
      <c r="C51" s="200">
        <v>7</v>
      </c>
      <c r="D51" s="199" t="s">
        <v>81</v>
      </c>
      <c r="E51" s="406" t="s">
        <v>116</v>
      </c>
      <c r="F51" s="407"/>
      <c r="G51" s="407"/>
      <c r="H51" s="407"/>
      <c r="I51" s="408"/>
      <c r="J51" s="3"/>
      <c r="U51" s="55"/>
      <c r="AF51" s="55"/>
      <c r="AG51" s="55"/>
      <c r="AJ51" s="55"/>
    </row>
    <row r="52" spans="1:36" ht="15" x14ac:dyDescent="0.2">
      <c r="A52" s="193"/>
      <c r="B52" s="398"/>
      <c r="C52" s="201">
        <v>5</v>
      </c>
      <c r="D52" s="199" t="s">
        <v>82</v>
      </c>
      <c r="E52" s="406" t="s">
        <v>119</v>
      </c>
      <c r="F52" s="407"/>
      <c r="G52" s="407"/>
      <c r="H52" s="407"/>
      <c r="I52" s="408"/>
      <c r="J52" s="3"/>
      <c r="U52" s="55"/>
      <c r="AF52" s="55"/>
      <c r="AG52" s="55"/>
      <c r="AJ52" s="55"/>
    </row>
    <row r="53" spans="1:36" ht="15" x14ac:dyDescent="0.2">
      <c r="A53" s="193"/>
      <c r="B53" s="398"/>
      <c r="C53" s="202">
        <v>3</v>
      </c>
      <c r="D53" s="199" t="s">
        <v>83</v>
      </c>
      <c r="E53" s="406" t="s">
        <v>118</v>
      </c>
      <c r="F53" s="407"/>
      <c r="G53" s="407"/>
      <c r="H53" s="407"/>
      <c r="I53" s="408"/>
      <c r="J53" s="3"/>
      <c r="U53" s="55"/>
      <c r="AF53" s="55"/>
      <c r="AG53" s="55"/>
      <c r="AJ53" s="55"/>
    </row>
    <row r="54" spans="1:36" ht="16" thickBot="1" x14ac:dyDescent="0.25">
      <c r="A54" s="193"/>
      <c r="B54" s="399"/>
      <c r="C54" s="203">
        <v>1</v>
      </c>
      <c r="D54" s="204" t="s">
        <v>84</v>
      </c>
      <c r="E54" s="409" t="s">
        <v>117</v>
      </c>
      <c r="F54" s="410"/>
      <c r="G54" s="410"/>
      <c r="H54" s="410"/>
      <c r="I54" s="411"/>
      <c r="J54" s="3"/>
      <c r="U54" s="55"/>
      <c r="AF54" s="55"/>
      <c r="AG54" s="55"/>
      <c r="AJ54" s="55"/>
    </row>
    <row r="55" spans="1:36" ht="16" thickBot="1" x14ac:dyDescent="0.25">
      <c r="A55" s="193"/>
      <c r="B55" s="3"/>
      <c r="C55" s="208"/>
      <c r="D55" s="3"/>
      <c r="E55" s="281"/>
      <c r="F55" s="209"/>
      <c r="G55" s="3"/>
      <c r="H55" s="3"/>
      <c r="I55" s="3"/>
      <c r="J55" s="3"/>
      <c r="U55" s="55"/>
      <c r="AF55" s="55"/>
      <c r="AG55" s="55"/>
      <c r="AJ55" s="55"/>
    </row>
    <row r="56" spans="1:36" x14ac:dyDescent="0.15">
      <c r="A56" s="193"/>
      <c r="B56" s="397" t="s">
        <v>85</v>
      </c>
      <c r="C56" s="197" t="s">
        <v>78</v>
      </c>
      <c r="D56" s="197" t="s">
        <v>86</v>
      </c>
      <c r="E56" s="424" t="s">
        <v>87</v>
      </c>
      <c r="F56" s="425"/>
      <c r="G56" s="425"/>
      <c r="H56" s="425"/>
      <c r="I56" s="426"/>
      <c r="J56" s="210"/>
      <c r="U56" s="55"/>
      <c r="AF56" s="55"/>
      <c r="AG56" s="55"/>
      <c r="AJ56" s="55"/>
    </row>
    <row r="57" spans="1:36" ht="15" x14ac:dyDescent="0.2">
      <c r="A57" s="193"/>
      <c r="B57" s="398"/>
      <c r="C57" s="198">
        <v>10</v>
      </c>
      <c r="D57" s="211" t="s">
        <v>80</v>
      </c>
      <c r="E57" s="427" t="s">
        <v>88</v>
      </c>
      <c r="F57" s="428"/>
      <c r="G57" s="428"/>
      <c r="H57" s="428"/>
      <c r="I57" s="429"/>
      <c r="J57" s="210"/>
      <c r="U57" s="55"/>
      <c r="AF57" s="55"/>
      <c r="AG57" s="55"/>
    </row>
    <row r="58" spans="1:36" ht="15" x14ac:dyDescent="0.2">
      <c r="A58" s="193"/>
      <c r="B58" s="398"/>
      <c r="C58" s="212">
        <v>7</v>
      </c>
      <c r="D58" s="211" t="s">
        <v>81</v>
      </c>
      <c r="E58" s="427" t="s">
        <v>110</v>
      </c>
      <c r="F58" s="428"/>
      <c r="G58" s="428"/>
      <c r="H58" s="428"/>
      <c r="I58" s="429"/>
      <c r="J58" s="210"/>
      <c r="U58" s="55"/>
      <c r="AF58" s="55"/>
      <c r="AG58" s="55"/>
    </row>
    <row r="59" spans="1:36" ht="15" x14ac:dyDescent="0.2">
      <c r="A59" s="193"/>
      <c r="B59" s="398"/>
      <c r="C59" s="201">
        <v>5</v>
      </c>
      <c r="D59" s="211" t="s">
        <v>82</v>
      </c>
      <c r="E59" s="430" t="s">
        <v>111</v>
      </c>
      <c r="F59" s="431"/>
      <c r="G59" s="431"/>
      <c r="H59" s="431"/>
      <c r="I59" s="432"/>
      <c r="J59" s="210"/>
      <c r="U59" s="55"/>
      <c r="AF59" s="55"/>
      <c r="AG59" s="55"/>
    </row>
    <row r="60" spans="1:36" ht="15" x14ac:dyDescent="0.2">
      <c r="A60" s="193"/>
      <c r="B60" s="398"/>
      <c r="C60" s="202">
        <v>3</v>
      </c>
      <c r="D60" s="211" t="s">
        <v>83</v>
      </c>
      <c r="E60" s="427" t="s">
        <v>112</v>
      </c>
      <c r="F60" s="428"/>
      <c r="G60" s="428"/>
      <c r="H60" s="428"/>
      <c r="I60" s="429"/>
      <c r="J60" s="210"/>
      <c r="U60" s="55"/>
      <c r="AF60" s="55"/>
      <c r="AG60" s="55"/>
    </row>
    <row r="61" spans="1:36" ht="16" thickBot="1" x14ac:dyDescent="0.25">
      <c r="B61" s="399"/>
      <c r="C61" s="203">
        <v>1</v>
      </c>
      <c r="D61" s="213" t="s">
        <v>84</v>
      </c>
      <c r="E61" s="412" t="s">
        <v>113</v>
      </c>
      <c r="F61" s="413"/>
      <c r="G61" s="413"/>
      <c r="H61" s="413"/>
      <c r="I61" s="414"/>
      <c r="J61" s="210"/>
      <c r="U61" s="55"/>
      <c r="AF61" s="55"/>
      <c r="AG61" s="55"/>
    </row>
    <row r="62" spans="1:36" ht="15" x14ac:dyDescent="0.2">
      <c r="B62" s="3"/>
      <c r="C62" s="3"/>
      <c r="D62" s="3"/>
      <c r="E62" s="281"/>
      <c r="F62" s="209"/>
      <c r="G62" s="3"/>
      <c r="H62" s="214"/>
      <c r="I62" s="214"/>
      <c r="J62" s="210"/>
      <c r="U62" s="55"/>
      <c r="AF62" s="55"/>
      <c r="AG62" s="55"/>
    </row>
    <row r="63" spans="1:36" ht="16" thickBot="1" x14ac:dyDescent="0.25">
      <c r="B63" s="210"/>
      <c r="C63" s="210"/>
      <c r="D63" s="210"/>
      <c r="E63" s="282"/>
      <c r="F63" s="215"/>
      <c r="G63" s="210"/>
      <c r="H63" s="210"/>
      <c r="I63" s="3"/>
      <c r="J63" s="210"/>
      <c r="U63" s="55"/>
      <c r="AF63" s="55"/>
      <c r="AG63" s="55"/>
    </row>
    <row r="64" spans="1:36" ht="15" thickBot="1" x14ac:dyDescent="0.2">
      <c r="B64" s="415" t="s">
        <v>89</v>
      </c>
      <c r="C64" s="416"/>
      <c r="D64" s="416"/>
      <c r="E64" s="416"/>
      <c r="F64" s="416"/>
      <c r="G64" s="416"/>
      <c r="H64" s="417"/>
      <c r="I64" s="294" t="s">
        <v>44</v>
      </c>
      <c r="J64" s="210"/>
      <c r="U64" s="55"/>
      <c r="AF64" s="55"/>
      <c r="AG64" s="55"/>
    </row>
    <row r="65" spans="2:36" ht="17" thickBot="1" x14ac:dyDescent="0.2">
      <c r="B65" s="216"/>
      <c r="C65" s="217"/>
      <c r="D65" s="418" t="s">
        <v>79</v>
      </c>
      <c r="E65" s="419"/>
      <c r="F65" s="419"/>
      <c r="G65" s="419"/>
      <c r="H65" s="420"/>
      <c r="I65" s="55"/>
      <c r="J65" s="55"/>
      <c r="K65" s="55"/>
      <c r="L65" s="55"/>
      <c r="M65" s="55"/>
      <c r="N65" s="55"/>
      <c r="U65" s="55"/>
      <c r="AF65" s="55"/>
      <c r="AG65" s="55"/>
    </row>
    <row r="66" spans="2:36" ht="15" thickBot="1" x14ac:dyDescent="0.2">
      <c r="B66" s="218"/>
      <c r="C66" s="219"/>
      <c r="D66" s="220">
        <v>1</v>
      </c>
      <c r="E66" s="221">
        <v>3</v>
      </c>
      <c r="F66" s="222">
        <v>5</v>
      </c>
      <c r="G66" s="223">
        <v>7</v>
      </c>
      <c r="H66" s="224">
        <v>10</v>
      </c>
      <c r="I66" s="55"/>
      <c r="J66" s="55"/>
      <c r="K66" s="55"/>
      <c r="L66" s="55"/>
      <c r="M66" s="55"/>
      <c r="O66" s="59"/>
      <c r="S66" s="60"/>
      <c r="U66" s="55"/>
      <c r="AF66" s="55"/>
      <c r="AG66" s="56"/>
      <c r="AH66" s="55"/>
      <c r="AI66" s="62"/>
      <c r="AJ66" s="55"/>
    </row>
    <row r="67" spans="2:36" x14ac:dyDescent="0.15">
      <c r="B67" s="421" t="s">
        <v>85</v>
      </c>
      <c r="C67" s="225">
        <v>1</v>
      </c>
      <c r="D67" s="226">
        <f>D66*C67</f>
        <v>1</v>
      </c>
      <c r="E67" s="227">
        <f>$E$66*C67</f>
        <v>3</v>
      </c>
      <c r="F67" s="228">
        <f>$F$66*C67</f>
        <v>5</v>
      </c>
      <c r="G67" s="227">
        <f>$G$66*C67</f>
        <v>7</v>
      </c>
      <c r="H67" s="229">
        <f>$H$66*C67</f>
        <v>10</v>
      </c>
      <c r="I67" s="55"/>
      <c r="J67" s="55"/>
      <c r="K67" s="55"/>
      <c r="L67" s="55"/>
      <c r="M67" s="55"/>
      <c r="O67" s="59"/>
      <c r="S67" s="60"/>
      <c r="U67" s="55"/>
      <c r="AF67" s="55"/>
      <c r="AG67" s="56"/>
      <c r="AH67" s="55"/>
      <c r="AI67" s="62"/>
      <c r="AJ67" s="55"/>
    </row>
    <row r="68" spans="2:36" x14ac:dyDescent="0.15">
      <c r="B68" s="422"/>
      <c r="C68" s="230">
        <v>3</v>
      </c>
      <c r="D68" s="231">
        <f>C68*$D$66</f>
        <v>3</v>
      </c>
      <c r="E68" s="232">
        <f>$E$66*C68</f>
        <v>9</v>
      </c>
      <c r="F68" s="233">
        <f>$F$66*C68</f>
        <v>15</v>
      </c>
      <c r="G68" s="234">
        <f>$G$66*C68</f>
        <v>21</v>
      </c>
      <c r="H68" s="235">
        <f>$H$66*C68</f>
        <v>30</v>
      </c>
      <c r="I68" s="55"/>
      <c r="J68" s="55"/>
      <c r="K68" s="55"/>
      <c r="L68" s="55"/>
      <c r="M68" s="55"/>
      <c r="O68" s="59"/>
      <c r="S68" s="60"/>
      <c r="U68" s="55"/>
      <c r="AF68" s="55"/>
      <c r="AG68" s="56"/>
      <c r="AH68" s="55"/>
      <c r="AI68" s="62"/>
      <c r="AJ68" s="55"/>
    </row>
    <row r="69" spans="2:36" x14ac:dyDescent="0.15">
      <c r="B69" s="422"/>
      <c r="C69" s="236">
        <v>5</v>
      </c>
      <c r="D69" s="231">
        <f>C69*$D$66</f>
        <v>5</v>
      </c>
      <c r="E69" s="234">
        <f>$E$66*C69</f>
        <v>15</v>
      </c>
      <c r="F69" s="237">
        <f>$F$66*C69</f>
        <v>25</v>
      </c>
      <c r="G69" s="238">
        <f>$G$66*C69</f>
        <v>35</v>
      </c>
      <c r="H69" s="239">
        <f>$H$66*C69</f>
        <v>50</v>
      </c>
      <c r="I69" s="55"/>
      <c r="J69" s="55"/>
      <c r="K69" s="55"/>
      <c r="L69" s="55"/>
      <c r="M69" s="55"/>
      <c r="O69" s="59"/>
      <c r="S69" s="60"/>
      <c r="U69" s="55"/>
      <c r="AF69" s="55"/>
      <c r="AG69" s="56"/>
      <c r="AH69" s="55"/>
      <c r="AI69" s="62"/>
      <c r="AJ69" s="55"/>
    </row>
    <row r="70" spans="2:36" x14ac:dyDescent="0.15">
      <c r="B70" s="422"/>
      <c r="C70" s="240">
        <v>7</v>
      </c>
      <c r="D70" s="231">
        <f>C70*$D$66</f>
        <v>7</v>
      </c>
      <c r="E70" s="241">
        <f>$E$66*C70</f>
        <v>21</v>
      </c>
      <c r="F70" s="242">
        <f>$F$66*C70</f>
        <v>35</v>
      </c>
      <c r="G70" s="238">
        <f>$G$66*C70</f>
        <v>49</v>
      </c>
      <c r="H70" s="239">
        <f>$H$66*C70</f>
        <v>70</v>
      </c>
      <c r="I70" s="55"/>
      <c r="J70" s="55"/>
      <c r="K70" s="55"/>
      <c r="L70" s="55"/>
      <c r="M70" s="55"/>
      <c r="O70" s="59"/>
      <c r="S70" s="60"/>
      <c r="U70" s="55"/>
      <c r="AF70" s="55"/>
      <c r="AG70" s="56"/>
      <c r="AH70" s="55"/>
      <c r="AI70" s="62"/>
      <c r="AJ70" s="55"/>
    </row>
    <row r="71" spans="2:36" ht="15" thickBot="1" x14ac:dyDescent="0.2">
      <c r="B71" s="423"/>
      <c r="C71" s="243">
        <v>10</v>
      </c>
      <c r="D71" s="244">
        <f>C71*$D$66</f>
        <v>10</v>
      </c>
      <c r="E71" s="245">
        <f>$E$66*C71</f>
        <v>30</v>
      </c>
      <c r="F71" s="246">
        <f>$F$66*C71</f>
        <v>50</v>
      </c>
      <c r="G71" s="247">
        <f>$G$66*C71</f>
        <v>70</v>
      </c>
      <c r="H71" s="248">
        <f>$H$66*C71</f>
        <v>100</v>
      </c>
      <c r="I71" s="210"/>
      <c r="K71" s="55"/>
      <c r="L71" s="55"/>
      <c r="M71" s="55"/>
      <c r="N71" s="55"/>
      <c r="O71" s="55"/>
      <c r="S71" s="60"/>
      <c r="U71" s="55"/>
      <c r="AF71" s="55"/>
      <c r="AG71" s="56"/>
      <c r="AH71" s="55"/>
      <c r="AI71" s="62"/>
      <c r="AJ71" s="55"/>
    </row>
    <row r="72" spans="2:36" x14ac:dyDescent="0.15">
      <c r="C72" s="55"/>
      <c r="D72" s="55"/>
      <c r="E72" s="249"/>
      <c r="F72" s="60"/>
      <c r="G72" s="55"/>
      <c r="H72" s="55"/>
      <c r="L72" s="55"/>
      <c r="M72" s="55"/>
      <c r="N72" s="55"/>
      <c r="O72" s="55"/>
      <c r="P72" s="249"/>
      <c r="AF72" s="55"/>
      <c r="AG72" s="55"/>
    </row>
    <row r="73" spans="2:36" ht="15" x14ac:dyDescent="0.15">
      <c r="C73" s="250" t="s">
        <v>51</v>
      </c>
      <c r="D73" s="251"/>
      <c r="E73" s="283"/>
      <c r="F73" s="252"/>
      <c r="H73" s="58"/>
      <c r="I73" s="58"/>
      <c r="J73" s="58"/>
      <c r="L73" s="55"/>
      <c r="M73" s="55"/>
      <c r="N73" s="55"/>
      <c r="O73" s="55"/>
      <c r="P73" s="249"/>
      <c r="AF73" s="55"/>
      <c r="AG73" s="55"/>
      <c r="AH73" s="55"/>
      <c r="AJ73" s="55"/>
    </row>
    <row r="74" spans="2:36" x14ac:dyDescent="0.15">
      <c r="C74" s="253" t="s">
        <v>88</v>
      </c>
      <c r="G74" s="254"/>
      <c r="H74" s="58"/>
      <c r="I74" s="58"/>
      <c r="J74" s="58"/>
      <c r="L74" s="55"/>
      <c r="M74" s="55"/>
      <c r="N74" s="55"/>
      <c r="O74" s="55"/>
      <c r="P74" s="249"/>
      <c r="AF74" s="55"/>
      <c r="AG74" s="55"/>
      <c r="AH74" s="55"/>
      <c r="AJ74" s="55"/>
    </row>
    <row r="75" spans="2:36" x14ac:dyDescent="0.15">
      <c r="C75" s="253" t="s">
        <v>110</v>
      </c>
      <c r="G75" s="255"/>
      <c r="H75" s="58"/>
      <c r="I75" s="58"/>
      <c r="J75" s="58"/>
      <c r="L75" s="55"/>
      <c r="M75" s="55"/>
      <c r="N75" s="55"/>
      <c r="O75" s="55"/>
      <c r="P75" s="249"/>
      <c r="AF75" s="55"/>
      <c r="AG75" s="55"/>
      <c r="AH75" s="55"/>
      <c r="AJ75" s="55"/>
    </row>
    <row r="76" spans="2:36" x14ac:dyDescent="0.15">
      <c r="C76" s="253" t="s">
        <v>111</v>
      </c>
      <c r="G76" s="256"/>
      <c r="H76" s="58"/>
      <c r="I76" s="58"/>
      <c r="J76" s="58"/>
      <c r="L76" s="55"/>
      <c r="M76" s="55"/>
      <c r="N76" s="55"/>
      <c r="O76" s="55"/>
      <c r="P76" s="249"/>
      <c r="AF76" s="55"/>
      <c r="AG76" s="55"/>
      <c r="AH76" s="55"/>
      <c r="AJ76" s="55"/>
    </row>
    <row r="77" spans="2:36" x14ac:dyDescent="0.15">
      <c r="C77" s="253" t="s">
        <v>112</v>
      </c>
      <c r="H77" s="58"/>
      <c r="I77" s="58"/>
      <c r="J77" s="58"/>
      <c r="L77" s="55"/>
      <c r="M77" s="55"/>
      <c r="N77" s="55"/>
      <c r="O77" s="55"/>
      <c r="P77" s="249"/>
      <c r="AF77" s="55"/>
      <c r="AG77" s="55"/>
      <c r="AH77" s="55"/>
      <c r="AJ77" s="55"/>
    </row>
    <row r="78" spans="2:36" x14ac:dyDescent="0.15">
      <c r="C78" s="253" t="s">
        <v>114</v>
      </c>
      <c r="H78" s="58"/>
      <c r="I78" s="58"/>
      <c r="J78" s="58"/>
      <c r="L78" s="55"/>
      <c r="M78" s="55"/>
      <c r="N78" s="55"/>
      <c r="O78" s="55"/>
      <c r="P78" s="249"/>
      <c r="AF78" s="55"/>
      <c r="AG78" s="55"/>
      <c r="AH78" s="55"/>
      <c r="AJ78" s="55"/>
    </row>
    <row r="79" spans="2:36" ht="15" x14ac:dyDescent="0.15">
      <c r="C79" s="250" t="s">
        <v>53</v>
      </c>
      <c r="D79" s="251"/>
      <c r="E79" s="283"/>
      <c r="F79" s="252"/>
      <c r="H79" s="58"/>
      <c r="I79" s="58"/>
      <c r="J79" s="58"/>
      <c r="L79" s="55"/>
      <c r="M79" s="55"/>
      <c r="N79" s="55"/>
      <c r="O79" s="55"/>
      <c r="P79" s="249"/>
      <c r="AF79" s="55"/>
      <c r="AG79" s="55"/>
      <c r="AH79" s="55"/>
      <c r="AJ79" s="55"/>
    </row>
    <row r="80" spans="2:36" x14ac:dyDescent="0.15">
      <c r="C80" s="257" t="s">
        <v>72</v>
      </c>
      <c r="H80" s="58"/>
      <c r="I80" s="58"/>
      <c r="J80" s="58"/>
      <c r="AF80" s="55"/>
      <c r="AG80" s="55"/>
      <c r="AH80" s="55"/>
      <c r="AJ80" s="55"/>
    </row>
    <row r="81" spans="3:36" x14ac:dyDescent="0.15">
      <c r="C81" s="257" t="s">
        <v>90</v>
      </c>
      <c r="H81" s="58"/>
      <c r="I81" s="58"/>
      <c r="J81" s="58"/>
      <c r="AF81" s="55"/>
      <c r="AG81" s="55"/>
      <c r="AH81" s="55"/>
      <c r="AJ81" s="55"/>
    </row>
    <row r="82" spans="3:36" x14ac:dyDescent="0.15">
      <c r="C82" s="258" t="s">
        <v>91</v>
      </c>
      <c r="D82" s="62"/>
      <c r="H82" s="58"/>
      <c r="I82" s="58"/>
      <c r="J82" s="58"/>
      <c r="AF82" s="55"/>
      <c r="AG82" s="55"/>
      <c r="AH82" s="55"/>
      <c r="AJ82" s="55"/>
    </row>
    <row r="83" spans="3:36" x14ac:dyDescent="0.15">
      <c r="C83" s="258" t="s">
        <v>101</v>
      </c>
      <c r="H83" s="58"/>
      <c r="I83" s="58"/>
      <c r="J83" s="58"/>
      <c r="AF83" s="55"/>
      <c r="AG83" s="55"/>
      <c r="AH83" s="55"/>
      <c r="AJ83" s="55"/>
    </row>
    <row r="84" spans="3:36" ht="15" x14ac:dyDescent="0.15">
      <c r="C84" s="250" t="s">
        <v>70</v>
      </c>
      <c r="D84" s="251"/>
      <c r="E84" s="283"/>
      <c r="F84" s="252"/>
      <c r="H84" s="58"/>
      <c r="I84" s="58"/>
      <c r="J84" s="58"/>
      <c r="AF84" s="55"/>
      <c r="AG84" s="55"/>
      <c r="AH84" s="55"/>
      <c r="AJ84" s="55"/>
    </row>
    <row r="85" spans="3:36" x14ac:dyDescent="0.15">
      <c r="C85" s="257" t="s">
        <v>102</v>
      </c>
      <c r="D85" s="257"/>
      <c r="E85" s="284"/>
      <c r="H85" s="58"/>
      <c r="I85" s="58"/>
      <c r="J85" s="58"/>
      <c r="AF85" s="55"/>
      <c r="AG85" s="55"/>
      <c r="AH85" s="55"/>
      <c r="AJ85" s="55"/>
    </row>
    <row r="86" spans="3:36" x14ac:dyDescent="0.15">
      <c r="C86" s="257" t="s">
        <v>103</v>
      </c>
      <c r="D86" s="257"/>
      <c r="E86" s="284"/>
      <c r="H86" s="58"/>
      <c r="I86" s="58"/>
      <c r="J86" s="58"/>
      <c r="AF86" s="55"/>
      <c r="AG86" s="55"/>
      <c r="AH86" s="55"/>
      <c r="AJ86" s="55"/>
    </row>
    <row r="87" spans="3:36" x14ac:dyDescent="0.15">
      <c r="C87" s="259" t="s">
        <v>74</v>
      </c>
      <c r="D87" s="259"/>
      <c r="E87" s="285"/>
      <c r="H87" s="58"/>
      <c r="I87" s="58"/>
      <c r="J87" s="58"/>
      <c r="AF87" s="55"/>
      <c r="AG87" s="55"/>
      <c r="AH87" s="55"/>
      <c r="AJ87" s="55"/>
    </row>
    <row r="88" spans="3:36" x14ac:dyDescent="0.15">
      <c r="C88" s="257" t="s">
        <v>104</v>
      </c>
      <c r="D88" s="257"/>
      <c r="E88" s="284"/>
      <c r="H88" s="58"/>
      <c r="I88" s="58"/>
      <c r="J88" s="58"/>
      <c r="AF88" s="55"/>
      <c r="AG88" s="55"/>
      <c r="AH88" s="55"/>
      <c r="AJ88" s="55"/>
    </row>
    <row r="89" spans="3:36" ht="15" x14ac:dyDescent="0.15">
      <c r="C89" s="250" t="s">
        <v>127</v>
      </c>
      <c r="D89" s="251"/>
      <c r="E89" s="283"/>
      <c r="F89" s="252"/>
      <c r="H89" s="58"/>
      <c r="I89" s="58"/>
      <c r="J89" s="58"/>
      <c r="AF89" s="55"/>
      <c r="AG89" s="55"/>
      <c r="AH89" s="55"/>
      <c r="AJ89" s="55"/>
    </row>
    <row r="90" spans="3:36" x14ac:dyDescent="0.15">
      <c r="C90" s="257" t="s">
        <v>128</v>
      </c>
      <c r="D90" s="257"/>
      <c r="E90" s="284"/>
      <c r="H90" s="58"/>
      <c r="I90" s="58"/>
      <c r="J90" s="58"/>
      <c r="AF90" s="55"/>
      <c r="AG90" s="55"/>
      <c r="AH90" s="55"/>
      <c r="AJ90" s="55"/>
    </row>
    <row r="91" spans="3:36" x14ac:dyDescent="0.15">
      <c r="C91" s="257" t="s">
        <v>129</v>
      </c>
      <c r="D91" s="257"/>
      <c r="E91" s="284"/>
      <c r="AF91" s="55"/>
      <c r="AG91" s="55"/>
      <c r="AH91" s="55"/>
      <c r="AJ91" s="55"/>
    </row>
    <row r="92" spans="3:36" x14ac:dyDescent="0.15">
      <c r="C92" s="259" t="s">
        <v>130</v>
      </c>
      <c r="D92" s="259"/>
      <c r="E92" s="285"/>
      <c r="AF92" s="55"/>
      <c r="AG92" s="55"/>
      <c r="AH92" s="55"/>
      <c r="AJ92" s="55"/>
    </row>
    <row r="93" spans="3:36" x14ac:dyDescent="0.15">
      <c r="C93" s="257" t="s">
        <v>131</v>
      </c>
      <c r="D93" s="257"/>
      <c r="E93" s="284"/>
      <c r="AF93" s="55"/>
      <c r="AG93" s="55"/>
      <c r="AH93" s="55"/>
      <c r="AJ93" s="55"/>
    </row>
    <row r="94" spans="3:36" x14ac:dyDescent="0.15">
      <c r="AF94" s="55"/>
      <c r="AG94" s="55"/>
      <c r="AH94" s="55"/>
      <c r="AJ94" s="55"/>
    </row>
    <row r="95" spans="3:36" x14ac:dyDescent="0.15">
      <c r="AF95" s="55"/>
      <c r="AG95" s="55"/>
      <c r="AH95" s="55"/>
      <c r="AJ95" s="55"/>
    </row>
    <row r="96" spans="3:36" x14ac:dyDescent="0.15">
      <c r="AF96" s="55"/>
      <c r="AG96" s="55"/>
      <c r="AH96" s="55"/>
      <c r="AJ96" s="55"/>
    </row>
    <row r="97" spans="3:36" x14ac:dyDescent="0.15">
      <c r="AF97" s="55"/>
      <c r="AG97" s="55"/>
      <c r="AH97" s="55"/>
      <c r="AJ97" s="55"/>
    </row>
    <row r="98" spans="3:36" x14ac:dyDescent="0.15">
      <c r="AF98" s="55"/>
      <c r="AG98" s="55"/>
      <c r="AH98" s="55"/>
      <c r="AJ98" s="55"/>
    </row>
    <row r="99" spans="3:36" x14ac:dyDescent="0.15">
      <c r="AF99" s="55"/>
      <c r="AG99" s="55"/>
      <c r="AH99" s="55"/>
      <c r="AJ99" s="55"/>
    </row>
    <row r="100" spans="3:36" x14ac:dyDescent="0.15">
      <c r="AF100" s="55"/>
      <c r="AG100" s="55"/>
      <c r="AH100" s="55"/>
      <c r="AJ100" s="55"/>
    </row>
    <row r="101" spans="3:36" x14ac:dyDescent="0.15">
      <c r="AF101" s="55"/>
      <c r="AG101" s="55"/>
      <c r="AH101" s="55"/>
      <c r="AJ101" s="55"/>
    </row>
    <row r="102" spans="3:36" x14ac:dyDescent="0.15">
      <c r="AF102" s="55"/>
      <c r="AG102" s="55"/>
      <c r="AH102" s="55"/>
      <c r="AJ102" s="55"/>
    </row>
    <row r="103" spans="3:36" x14ac:dyDescent="0.15">
      <c r="AF103" s="55"/>
      <c r="AG103" s="55"/>
      <c r="AH103" s="55"/>
      <c r="AJ103" s="55"/>
    </row>
    <row r="104" spans="3:36" x14ac:dyDescent="0.15">
      <c r="AF104" s="55"/>
      <c r="AG104" s="55"/>
      <c r="AH104" s="55"/>
      <c r="AJ104" s="55"/>
    </row>
    <row r="105" spans="3:36" x14ac:dyDescent="0.15">
      <c r="C105" s="55"/>
      <c r="D105" s="55"/>
      <c r="E105" s="249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AF105" s="55"/>
      <c r="AG105" s="55"/>
      <c r="AH105" s="55"/>
      <c r="AJ105" s="55"/>
    </row>
    <row r="106" spans="3:36" x14ac:dyDescent="0.15">
      <c r="C106" s="55"/>
      <c r="D106" s="55"/>
      <c r="E106" s="249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AF106" s="55"/>
      <c r="AG106" s="55"/>
      <c r="AH106" s="55"/>
      <c r="AJ106" s="55"/>
    </row>
    <row r="107" spans="3:36" x14ac:dyDescent="0.15">
      <c r="C107" s="55"/>
      <c r="D107" s="55"/>
      <c r="E107" s="249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AF107" s="55"/>
      <c r="AG107" s="55"/>
      <c r="AH107" s="55"/>
      <c r="AJ107" s="55"/>
    </row>
    <row r="108" spans="3:36" x14ac:dyDescent="0.15">
      <c r="C108" s="55"/>
      <c r="D108" s="55"/>
      <c r="E108" s="249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AF108" s="55"/>
      <c r="AG108" s="55"/>
      <c r="AH108" s="55"/>
      <c r="AJ108" s="55"/>
    </row>
    <row r="109" spans="3:36" x14ac:dyDescent="0.15">
      <c r="C109" s="55"/>
      <c r="D109" s="55"/>
      <c r="E109" s="249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AF109" s="55"/>
      <c r="AG109" s="55"/>
      <c r="AH109" s="55"/>
      <c r="AJ109" s="55"/>
    </row>
    <row r="110" spans="3:36" x14ac:dyDescent="0.15">
      <c r="C110" s="55"/>
      <c r="D110" s="55"/>
      <c r="E110" s="249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AF110" s="55"/>
      <c r="AG110" s="55"/>
      <c r="AH110" s="55"/>
      <c r="AJ110" s="55"/>
    </row>
    <row r="111" spans="3:36" x14ac:dyDescent="0.15">
      <c r="C111" s="55"/>
      <c r="D111" s="55"/>
      <c r="E111" s="249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AF111" s="55"/>
      <c r="AG111" s="55"/>
      <c r="AH111" s="55"/>
      <c r="AJ111" s="55"/>
    </row>
    <row r="112" spans="3:36" x14ac:dyDescent="0.15">
      <c r="C112" s="55"/>
      <c r="D112" s="55"/>
      <c r="E112" s="249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AF112" s="55"/>
      <c r="AG112" s="55"/>
      <c r="AH112" s="55"/>
      <c r="AJ112" s="55"/>
    </row>
    <row r="113" spans="3:36" x14ac:dyDescent="0.15">
      <c r="C113" s="55"/>
      <c r="D113" s="55"/>
      <c r="E113" s="249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AF113" s="55"/>
      <c r="AG113" s="55"/>
      <c r="AH113" s="55"/>
      <c r="AJ113" s="55"/>
    </row>
    <row r="114" spans="3:36" x14ac:dyDescent="0.15">
      <c r="C114" s="55"/>
      <c r="D114" s="55"/>
      <c r="E114" s="249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AF114" s="55"/>
      <c r="AG114" s="55"/>
      <c r="AH114" s="55"/>
      <c r="AJ114" s="55"/>
    </row>
    <row r="115" spans="3:36" x14ac:dyDescent="0.15">
      <c r="C115" s="55"/>
      <c r="D115" s="55"/>
      <c r="E115" s="249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AF115" s="55"/>
      <c r="AG115" s="55"/>
      <c r="AH115" s="55"/>
      <c r="AJ115" s="55"/>
    </row>
    <row r="116" spans="3:36" x14ac:dyDescent="0.15">
      <c r="C116" s="55"/>
      <c r="D116" s="55"/>
      <c r="E116" s="249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AF116" s="55"/>
      <c r="AG116" s="55"/>
      <c r="AH116" s="55"/>
      <c r="AJ116" s="55"/>
    </row>
    <row r="117" spans="3:36" x14ac:dyDescent="0.15">
      <c r="C117" s="55"/>
      <c r="D117" s="55"/>
      <c r="E117" s="249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AF117" s="55"/>
      <c r="AG117" s="55"/>
      <c r="AH117" s="55"/>
      <c r="AJ117" s="55"/>
    </row>
    <row r="118" spans="3:36" x14ac:dyDescent="0.15">
      <c r="C118" s="55"/>
      <c r="D118" s="55"/>
      <c r="E118" s="249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AF118" s="55"/>
      <c r="AG118" s="55"/>
      <c r="AH118" s="55"/>
      <c r="AJ118" s="55"/>
    </row>
    <row r="119" spans="3:36" x14ac:dyDescent="0.15">
      <c r="C119" s="55"/>
      <c r="D119" s="55"/>
      <c r="E119" s="249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AF119" s="55"/>
      <c r="AG119" s="55"/>
      <c r="AH119" s="55"/>
      <c r="AJ119" s="55"/>
    </row>
    <row r="120" spans="3:36" x14ac:dyDescent="0.15">
      <c r="C120" s="55"/>
      <c r="D120" s="55"/>
      <c r="E120" s="249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AF120" s="55"/>
      <c r="AG120" s="55"/>
      <c r="AH120" s="55"/>
      <c r="AJ120" s="55"/>
    </row>
    <row r="121" spans="3:36" x14ac:dyDescent="0.15">
      <c r="AF121" s="55"/>
      <c r="AG121" s="55"/>
      <c r="AJ121" s="55"/>
    </row>
    <row r="122" spans="3:36" x14ac:dyDescent="0.15">
      <c r="AF122" s="55"/>
      <c r="AG122" s="55"/>
      <c r="AJ122" s="55"/>
    </row>
    <row r="123" spans="3:36" x14ac:dyDescent="0.15">
      <c r="AF123" s="55"/>
      <c r="AG123" s="55"/>
      <c r="AJ123" s="55"/>
    </row>
    <row r="124" spans="3:36" x14ac:dyDescent="0.15">
      <c r="AF124" s="55"/>
      <c r="AG124" s="55"/>
      <c r="AJ124" s="55"/>
    </row>
    <row r="125" spans="3:36" x14ac:dyDescent="0.15">
      <c r="AF125" s="55"/>
      <c r="AG125" s="55"/>
      <c r="AJ125" s="55"/>
    </row>
    <row r="126" spans="3:36" x14ac:dyDescent="0.15">
      <c r="AF126" s="55"/>
      <c r="AG126" s="55"/>
      <c r="AJ126" s="55"/>
    </row>
    <row r="127" spans="3:36" x14ac:dyDescent="0.15">
      <c r="AF127" s="55"/>
      <c r="AG127" s="55"/>
      <c r="AJ127" s="55"/>
    </row>
    <row r="128" spans="3:36" x14ac:dyDescent="0.15">
      <c r="AF128" s="55"/>
      <c r="AG128" s="55"/>
      <c r="AJ128" s="55"/>
    </row>
    <row r="129" spans="3:36" x14ac:dyDescent="0.15">
      <c r="AF129" s="55"/>
      <c r="AG129" s="55"/>
      <c r="AJ129" s="55"/>
    </row>
    <row r="130" spans="3:36" x14ac:dyDescent="0.15">
      <c r="AF130" s="55"/>
      <c r="AG130" s="55"/>
      <c r="AJ130" s="55"/>
    </row>
    <row r="131" spans="3:36" x14ac:dyDescent="0.15">
      <c r="AF131" s="55"/>
      <c r="AG131" s="55"/>
      <c r="AJ131" s="55"/>
    </row>
    <row r="132" spans="3:36" x14ac:dyDescent="0.15">
      <c r="C132" s="260"/>
      <c r="D132" s="260"/>
      <c r="E132" s="263"/>
      <c r="F132" s="261"/>
      <c r="G132" s="262"/>
      <c r="H132" s="260"/>
      <c r="I132" s="260"/>
      <c r="J132" s="260"/>
      <c r="K132" s="260"/>
      <c r="L132" s="260"/>
      <c r="M132" s="260"/>
      <c r="N132" s="260"/>
      <c r="O132" s="260"/>
      <c r="P132" s="263"/>
      <c r="Q132" s="263"/>
      <c r="R132" s="263"/>
      <c r="S132" s="260"/>
      <c r="T132" s="264" t="s">
        <v>92</v>
      </c>
      <c r="AF132" s="55"/>
      <c r="AG132" s="55"/>
      <c r="AH132" s="260"/>
      <c r="AJ132" s="55"/>
    </row>
    <row r="133" spans="3:36" x14ac:dyDescent="0.15">
      <c r="C133" s="260"/>
      <c r="D133" s="260"/>
      <c r="E133" s="263"/>
      <c r="F133" s="261"/>
      <c r="G133" s="262"/>
      <c r="H133" s="260"/>
      <c r="I133" s="260"/>
      <c r="J133" s="260"/>
      <c r="K133" s="260"/>
      <c r="L133" s="260"/>
      <c r="M133" s="260"/>
      <c r="N133" s="260"/>
      <c r="O133" s="260"/>
      <c r="P133" s="263"/>
      <c r="Q133" s="263"/>
      <c r="R133" s="263"/>
      <c r="S133" s="260"/>
      <c r="T133" s="264" t="s">
        <v>93</v>
      </c>
      <c r="AF133" s="55"/>
      <c r="AG133" s="55"/>
      <c r="AH133" s="260"/>
      <c r="AJ133" s="55"/>
    </row>
    <row r="134" spans="3:36" x14ac:dyDescent="0.15">
      <c r="C134" s="260"/>
      <c r="D134" s="260"/>
      <c r="E134" s="263"/>
      <c r="F134" s="261"/>
      <c r="G134" s="262"/>
      <c r="H134" s="260"/>
      <c r="I134" s="260"/>
      <c r="J134" s="260"/>
      <c r="K134" s="260"/>
      <c r="L134" s="260"/>
      <c r="M134" s="260"/>
      <c r="N134" s="260"/>
      <c r="O134" s="260"/>
      <c r="P134" s="263"/>
      <c r="Q134" s="263"/>
      <c r="R134" s="263"/>
      <c r="S134" s="260"/>
      <c r="T134" s="264" t="s">
        <v>94</v>
      </c>
      <c r="AF134" s="55"/>
      <c r="AG134" s="55"/>
      <c r="AH134" s="260"/>
      <c r="AJ134" s="55"/>
    </row>
    <row r="135" spans="3:36" x14ac:dyDescent="0.15">
      <c r="C135" s="260"/>
      <c r="D135" s="260"/>
      <c r="E135" s="263"/>
      <c r="F135" s="261"/>
      <c r="G135" s="262"/>
      <c r="H135" s="260"/>
      <c r="I135" s="260"/>
      <c r="J135" s="260"/>
      <c r="K135" s="260"/>
      <c r="L135" s="260"/>
      <c r="M135" s="260"/>
      <c r="N135" s="260"/>
      <c r="O135" s="260"/>
      <c r="P135" s="263"/>
      <c r="Q135" s="263"/>
      <c r="R135" s="263"/>
      <c r="S135" s="260"/>
      <c r="T135" s="264" t="s">
        <v>73</v>
      </c>
      <c r="AF135" s="55"/>
      <c r="AG135" s="55"/>
      <c r="AH135" s="260"/>
      <c r="AJ135" s="55"/>
    </row>
    <row r="136" spans="3:36" x14ac:dyDescent="0.15">
      <c r="AF136" s="55"/>
      <c r="AG136" s="55"/>
      <c r="AJ136" s="55"/>
    </row>
    <row r="137" spans="3:36" x14ac:dyDescent="0.15">
      <c r="C137" s="55"/>
      <c r="D137" s="55"/>
      <c r="E137" s="249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AF137" s="55"/>
      <c r="AG137" s="55"/>
      <c r="AH137" s="55"/>
      <c r="AJ137" s="55"/>
    </row>
    <row r="138" spans="3:36" x14ac:dyDescent="0.15">
      <c r="C138" s="55"/>
      <c r="D138" s="55"/>
      <c r="E138" s="249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AF138" s="55"/>
      <c r="AG138" s="55"/>
      <c r="AH138" s="55"/>
      <c r="AJ138" s="55"/>
    </row>
    <row r="139" spans="3:36" x14ac:dyDescent="0.15">
      <c r="C139" s="55"/>
      <c r="D139" s="55"/>
      <c r="E139" s="249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AF139" s="55"/>
      <c r="AG139" s="55"/>
      <c r="AH139" s="55"/>
      <c r="AJ139" s="55"/>
    </row>
    <row r="140" spans="3:36" x14ac:dyDescent="0.15">
      <c r="C140" s="55"/>
      <c r="D140" s="55"/>
      <c r="E140" s="249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AF140" s="55"/>
      <c r="AG140" s="55"/>
      <c r="AH140" s="55"/>
      <c r="AJ140" s="55"/>
    </row>
    <row r="141" spans="3:36" x14ac:dyDescent="0.15">
      <c r="C141" s="55"/>
      <c r="D141" s="55"/>
      <c r="E141" s="249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AF141" s="55"/>
      <c r="AG141" s="55"/>
      <c r="AH141" s="55"/>
      <c r="AJ141" s="55"/>
    </row>
    <row r="142" spans="3:36" x14ac:dyDescent="0.15">
      <c r="C142" s="55"/>
      <c r="D142" s="55"/>
      <c r="E142" s="249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AF142" s="55"/>
      <c r="AG142" s="55"/>
      <c r="AH142" s="55"/>
      <c r="AJ142" s="55"/>
    </row>
    <row r="143" spans="3:36" x14ac:dyDescent="0.15">
      <c r="C143" s="55"/>
      <c r="D143" s="55"/>
      <c r="E143" s="249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AF143" s="55"/>
      <c r="AG143" s="55"/>
      <c r="AH143" s="55"/>
      <c r="AJ143" s="55"/>
    </row>
    <row r="144" spans="3:36" x14ac:dyDescent="0.15">
      <c r="C144" s="55"/>
      <c r="D144" s="55"/>
      <c r="E144" s="249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AF144" s="55"/>
      <c r="AG144" s="55"/>
      <c r="AH144" s="55"/>
      <c r="AJ144" s="55"/>
    </row>
    <row r="145" spans="3:36" x14ac:dyDescent="0.15">
      <c r="C145" s="55"/>
      <c r="D145" s="55"/>
      <c r="E145" s="249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AF145" s="55"/>
      <c r="AG145" s="55"/>
      <c r="AH145" s="55"/>
      <c r="AJ145" s="55"/>
    </row>
    <row r="146" spans="3:36" x14ac:dyDescent="0.15">
      <c r="C146" s="55"/>
      <c r="D146" s="55"/>
      <c r="E146" s="249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AF146" s="55"/>
      <c r="AG146" s="55"/>
      <c r="AH146" s="55"/>
      <c r="AJ146" s="55"/>
    </row>
    <row r="147" spans="3:36" x14ac:dyDescent="0.15">
      <c r="C147" s="55"/>
      <c r="D147" s="55"/>
      <c r="E147" s="249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AF147" s="55"/>
      <c r="AG147" s="55"/>
      <c r="AH147" s="55"/>
      <c r="AJ147" s="55"/>
    </row>
    <row r="148" spans="3:36" x14ac:dyDescent="0.15">
      <c r="C148" s="55"/>
      <c r="D148" s="55"/>
      <c r="E148" s="249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AF148" s="55"/>
      <c r="AG148" s="55"/>
      <c r="AH148" s="55"/>
      <c r="AJ148" s="55"/>
    </row>
    <row r="149" spans="3:36" x14ac:dyDescent="0.15">
      <c r="C149" s="55"/>
      <c r="D149" s="55"/>
      <c r="E149" s="249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AF149" s="55"/>
      <c r="AG149" s="55"/>
      <c r="AH149" s="55"/>
      <c r="AJ149" s="55"/>
    </row>
    <row r="150" spans="3:36" x14ac:dyDescent="0.15">
      <c r="C150" s="55"/>
      <c r="D150" s="55"/>
      <c r="E150" s="249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AF150" s="55"/>
      <c r="AG150" s="55"/>
      <c r="AH150" s="55"/>
      <c r="AJ150" s="55"/>
    </row>
    <row r="151" spans="3:36" x14ac:dyDescent="0.15">
      <c r="C151" s="55"/>
      <c r="D151" s="55"/>
      <c r="E151" s="249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AF151" s="55"/>
      <c r="AG151" s="55"/>
      <c r="AH151" s="55"/>
      <c r="AJ151" s="55"/>
    </row>
    <row r="152" spans="3:36" x14ac:dyDescent="0.15">
      <c r="C152" s="55"/>
      <c r="D152" s="55"/>
      <c r="E152" s="249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AF152" s="55"/>
      <c r="AG152" s="55"/>
      <c r="AH152" s="55"/>
      <c r="AJ152" s="55"/>
    </row>
    <row r="153" spans="3:36" x14ac:dyDescent="0.15">
      <c r="C153" s="55"/>
      <c r="D153" s="55"/>
      <c r="E153" s="249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AF153" s="55"/>
      <c r="AG153" s="55"/>
      <c r="AH153" s="55"/>
      <c r="AJ153" s="55"/>
    </row>
    <row r="154" spans="3:36" x14ac:dyDescent="0.15">
      <c r="C154" s="55"/>
      <c r="D154" s="55"/>
      <c r="E154" s="249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AF154" s="55"/>
      <c r="AG154" s="55"/>
      <c r="AH154" s="55"/>
      <c r="AJ154" s="55"/>
    </row>
    <row r="155" spans="3:36" x14ac:dyDescent="0.15">
      <c r="C155" s="55"/>
      <c r="D155" s="55"/>
      <c r="E155" s="249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AF155" s="55"/>
      <c r="AG155" s="55"/>
      <c r="AH155" s="55"/>
      <c r="AJ155" s="55"/>
    </row>
    <row r="156" spans="3:36" x14ac:dyDescent="0.15">
      <c r="C156" s="55"/>
      <c r="D156" s="55"/>
      <c r="E156" s="249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AF156" s="55"/>
      <c r="AG156" s="55"/>
      <c r="AH156" s="55"/>
      <c r="AJ156" s="55"/>
    </row>
    <row r="157" spans="3:36" x14ac:dyDescent="0.15">
      <c r="C157" s="55"/>
      <c r="D157" s="55"/>
      <c r="E157" s="249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AF157" s="55"/>
      <c r="AG157" s="55"/>
      <c r="AH157" s="55"/>
      <c r="AJ157" s="55"/>
    </row>
    <row r="158" spans="3:36" x14ac:dyDescent="0.15">
      <c r="C158" s="55"/>
      <c r="D158" s="55"/>
      <c r="E158" s="249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AF158" s="55"/>
      <c r="AG158" s="55"/>
      <c r="AH158" s="55"/>
      <c r="AJ158" s="55"/>
    </row>
    <row r="159" spans="3:36" x14ac:dyDescent="0.15">
      <c r="C159" s="55"/>
      <c r="D159" s="55"/>
      <c r="E159" s="249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AF159" s="55"/>
      <c r="AG159" s="55"/>
      <c r="AH159" s="55"/>
      <c r="AJ159" s="55"/>
    </row>
    <row r="160" spans="3:36" x14ac:dyDescent="0.15">
      <c r="C160" s="55"/>
      <c r="D160" s="55"/>
      <c r="E160" s="249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AF160" s="55"/>
      <c r="AG160" s="55"/>
      <c r="AH160" s="55"/>
      <c r="AJ160" s="55"/>
    </row>
    <row r="161" spans="3:36" x14ac:dyDescent="0.15">
      <c r="C161" s="55"/>
      <c r="D161" s="55"/>
      <c r="E161" s="249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AF161" s="55"/>
      <c r="AG161" s="55"/>
      <c r="AH161" s="55"/>
      <c r="AJ161" s="55"/>
    </row>
    <row r="162" spans="3:36" x14ac:dyDescent="0.15">
      <c r="C162" s="55"/>
      <c r="D162" s="55"/>
      <c r="E162" s="249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AF162" s="55"/>
      <c r="AG162" s="55"/>
      <c r="AH162" s="55"/>
      <c r="AJ162" s="55"/>
    </row>
    <row r="163" spans="3:36" x14ac:dyDescent="0.15">
      <c r="C163" s="55"/>
      <c r="D163" s="55"/>
      <c r="E163" s="249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AF163" s="55"/>
      <c r="AG163" s="55"/>
      <c r="AH163" s="55"/>
      <c r="AJ163" s="55"/>
    </row>
    <row r="164" spans="3:36" x14ac:dyDescent="0.15">
      <c r="C164" s="55"/>
      <c r="D164" s="55"/>
      <c r="E164" s="249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AF164" s="55"/>
      <c r="AG164" s="55"/>
      <c r="AH164" s="55"/>
      <c r="AJ164" s="55"/>
    </row>
    <row r="165" spans="3:36" x14ac:dyDescent="0.15">
      <c r="C165" s="55"/>
      <c r="D165" s="55"/>
      <c r="E165" s="249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AF165" s="55"/>
      <c r="AG165" s="55"/>
      <c r="AH165" s="55"/>
      <c r="AJ165" s="55"/>
    </row>
    <row r="166" spans="3:36" x14ac:dyDescent="0.15">
      <c r="C166" s="55"/>
      <c r="D166" s="55"/>
      <c r="E166" s="249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AF166" s="55"/>
      <c r="AG166" s="55"/>
      <c r="AH166" s="55"/>
      <c r="AJ166" s="55"/>
    </row>
    <row r="167" spans="3:36" x14ac:dyDescent="0.15">
      <c r="C167" s="55"/>
      <c r="D167" s="55"/>
      <c r="E167" s="249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AF167" s="55"/>
      <c r="AG167" s="55"/>
      <c r="AH167" s="55"/>
      <c r="AJ167" s="55"/>
    </row>
    <row r="168" spans="3:36" x14ac:dyDescent="0.15">
      <c r="C168" s="55"/>
      <c r="D168" s="55"/>
      <c r="E168" s="249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AF168" s="55"/>
      <c r="AG168" s="55"/>
      <c r="AH168" s="55"/>
      <c r="AJ168" s="55"/>
    </row>
    <row r="169" spans="3:36" x14ac:dyDescent="0.15">
      <c r="C169" s="55"/>
      <c r="D169" s="55"/>
      <c r="E169" s="249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AF169" s="55"/>
      <c r="AG169" s="55"/>
      <c r="AH169" s="55"/>
      <c r="AJ169" s="55"/>
    </row>
    <row r="170" spans="3:36" x14ac:dyDescent="0.15">
      <c r="C170" s="55"/>
      <c r="D170" s="55"/>
      <c r="E170" s="249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AF170" s="55"/>
      <c r="AG170" s="55"/>
      <c r="AH170" s="55"/>
      <c r="AJ170" s="55"/>
    </row>
    <row r="171" spans="3:36" x14ac:dyDescent="0.15">
      <c r="C171" s="55"/>
      <c r="D171" s="55"/>
      <c r="E171" s="249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AF171" s="55"/>
      <c r="AG171" s="55"/>
      <c r="AH171" s="55"/>
      <c r="AJ171" s="55"/>
    </row>
    <row r="172" spans="3:36" x14ac:dyDescent="0.15">
      <c r="C172" s="55"/>
      <c r="D172" s="55"/>
      <c r="E172" s="249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AF172" s="55"/>
      <c r="AG172" s="55"/>
      <c r="AH172" s="55"/>
      <c r="AJ172" s="55"/>
    </row>
    <row r="173" spans="3:36" x14ac:dyDescent="0.15">
      <c r="C173" s="55"/>
      <c r="D173" s="55"/>
      <c r="E173" s="249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AF173" s="55"/>
      <c r="AG173" s="55"/>
      <c r="AH173" s="55"/>
      <c r="AJ173" s="55"/>
    </row>
    <row r="174" spans="3:36" x14ac:dyDescent="0.15">
      <c r="C174" s="55"/>
      <c r="D174" s="55"/>
      <c r="E174" s="249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AF174" s="55"/>
      <c r="AG174" s="55"/>
      <c r="AH174" s="55"/>
      <c r="AJ174" s="55"/>
    </row>
    <row r="175" spans="3:36" x14ac:dyDescent="0.15">
      <c r="C175" s="55"/>
      <c r="D175" s="55"/>
      <c r="E175" s="249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AF175" s="55"/>
      <c r="AG175" s="55"/>
      <c r="AH175" s="55"/>
      <c r="AJ175" s="55"/>
    </row>
    <row r="176" spans="3:36" x14ac:dyDescent="0.15">
      <c r="C176" s="55"/>
      <c r="D176" s="55"/>
      <c r="E176" s="249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AF176" s="55"/>
      <c r="AG176" s="55"/>
      <c r="AH176" s="55"/>
      <c r="AJ176" s="55"/>
    </row>
    <row r="177" spans="3:36" x14ac:dyDescent="0.15">
      <c r="C177" s="55"/>
      <c r="D177" s="55"/>
      <c r="E177" s="249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AF177" s="55"/>
      <c r="AG177" s="55"/>
      <c r="AH177" s="55"/>
      <c r="AJ177" s="55"/>
    </row>
    <row r="178" spans="3:36" x14ac:dyDescent="0.15">
      <c r="C178" s="55"/>
      <c r="D178" s="55"/>
      <c r="E178" s="249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AF178" s="55"/>
      <c r="AG178" s="55"/>
      <c r="AH178" s="55"/>
      <c r="AJ178" s="55"/>
    </row>
    <row r="179" spans="3:36" x14ac:dyDescent="0.15">
      <c r="C179" s="55"/>
      <c r="D179" s="55"/>
      <c r="E179" s="249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AF179" s="55"/>
      <c r="AG179" s="55"/>
      <c r="AH179" s="55"/>
      <c r="AJ179" s="55"/>
    </row>
    <row r="180" spans="3:36" x14ac:dyDescent="0.15">
      <c r="C180" s="55"/>
      <c r="D180" s="55"/>
      <c r="E180" s="249"/>
      <c r="F180" s="55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AF180" s="55"/>
      <c r="AG180" s="55"/>
      <c r="AH180" s="55"/>
      <c r="AJ180" s="55"/>
    </row>
    <row r="181" spans="3:36" x14ac:dyDescent="0.15">
      <c r="C181" s="55"/>
      <c r="D181" s="55"/>
      <c r="E181" s="249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AF181" s="55"/>
      <c r="AG181" s="55"/>
      <c r="AH181" s="55"/>
      <c r="AJ181" s="55"/>
    </row>
    <row r="182" spans="3:36" x14ac:dyDescent="0.15">
      <c r="C182" s="55"/>
      <c r="D182" s="55"/>
      <c r="E182" s="249"/>
      <c r="F182" s="55"/>
      <c r="G182" s="55"/>
      <c r="H182" s="55"/>
      <c r="I182" s="55"/>
      <c r="J182" s="55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AF182" s="55"/>
      <c r="AG182" s="55"/>
      <c r="AH182" s="55"/>
      <c r="AJ182" s="55"/>
    </row>
    <row r="183" spans="3:36" x14ac:dyDescent="0.15">
      <c r="C183" s="55"/>
      <c r="D183" s="55"/>
      <c r="E183" s="249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AF183" s="55"/>
      <c r="AG183" s="55"/>
      <c r="AH183" s="55"/>
      <c r="AJ183" s="55"/>
    </row>
    <row r="184" spans="3:36" x14ac:dyDescent="0.15">
      <c r="C184" s="55"/>
      <c r="D184" s="55"/>
      <c r="E184" s="249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AF184" s="55"/>
      <c r="AG184" s="55"/>
      <c r="AH184" s="55"/>
      <c r="AJ184" s="55"/>
    </row>
    <row r="185" spans="3:36" x14ac:dyDescent="0.15">
      <c r="C185" s="55"/>
      <c r="D185" s="55"/>
      <c r="E185" s="249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AF185" s="55"/>
      <c r="AG185" s="55"/>
      <c r="AH185" s="55"/>
      <c r="AJ185" s="55"/>
    </row>
    <row r="186" spans="3:36" x14ac:dyDescent="0.15">
      <c r="C186" s="55"/>
      <c r="D186" s="55"/>
      <c r="E186" s="249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AF186" s="55"/>
      <c r="AG186" s="55"/>
      <c r="AH186" s="55"/>
      <c r="AJ186" s="55"/>
    </row>
    <row r="187" spans="3:36" x14ac:dyDescent="0.15">
      <c r="C187" s="55"/>
      <c r="D187" s="55"/>
      <c r="E187" s="249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AF187" s="55"/>
      <c r="AG187" s="55"/>
      <c r="AH187" s="55"/>
      <c r="AJ187" s="55"/>
    </row>
    <row r="188" spans="3:36" x14ac:dyDescent="0.15">
      <c r="C188" s="55"/>
      <c r="D188" s="55"/>
      <c r="E188" s="249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AF188" s="55"/>
      <c r="AG188" s="55"/>
      <c r="AH188" s="55"/>
      <c r="AJ188" s="55"/>
    </row>
    <row r="189" spans="3:36" x14ac:dyDescent="0.15">
      <c r="C189" s="55"/>
      <c r="D189" s="55"/>
      <c r="E189" s="249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AF189" s="55"/>
      <c r="AG189" s="55"/>
      <c r="AH189" s="55"/>
      <c r="AJ189" s="55"/>
    </row>
    <row r="190" spans="3:36" x14ac:dyDescent="0.15">
      <c r="C190" s="55"/>
      <c r="D190" s="55"/>
      <c r="E190" s="249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AF190" s="55"/>
      <c r="AG190" s="55"/>
      <c r="AH190" s="55"/>
      <c r="AJ190" s="55"/>
    </row>
    <row r="191" spans="3:36" x14ac:dyDescent="0.15">
      <c r="C191" s="55"/>
      <c r="D191" s="55"/>
      <c r="E191" s="249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AF191" s="55"/>
      <c r="AG191" s="55"/>
      <c r="AH191" s="55"/>
      <c r="AJ191" s="55"/>
    </row>
    <row r="192" spans="3:36" x14ac:dyDescent="0.15">
      <c r="C192" s="55"/>
      <c r="D192" s="55"/>
      <c r="E192" s="249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AF192" s="55"/>
      <c r="AG192" s="55"/>
      <c r="AH192" s="55"/>
      <c r="AJ192" s="55"/>
    </row>
    <row r="193" spans="3:36" x14ac:dyDescent="0.15">
      <c r="C193" s="55"/>
      <c r="D193" s="55"/>
      <c r="E193" s="249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AF193" s="55"/>
      <c r="AG193" s="55"/>
      <c r="AH193" s="55"/>
      <c r="AJ193" s="55"/>
    </row>
    <row r="194" spans="3:36" x14ac:dyDescent="0.15">
      <c r="C194" s="55"/>
      <c r="D194" s="55"/>
      <c r="E194" s="249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AF194" s="55"/>
      <c r="AG194" s="55"/>
      <c r="AH194" s="55"/>
      <c r="AJ194" s="55"/>
    </row>
    <row r="195" spans="3:36" x14ac:dyDescent="0.15">
      <c r="C195" s="55"/>
      <c r="D195" s="55"/>
      <c r="E195" s="249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AF195" s="55"/>
      <c r="AG195" s="55"/>
      <c r="AH195" s="55"/>
      <c r="AJ195" s="55"/>
    </row>
    <row r="196" spans="3:36" x14ac:dyDescent="0.15">
      <c r="C196" s="55"/>
      <c r="D196" s="55"/>
      <c r="E196" s="249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AF196" s="55"/>
      <c r="AG196" s="55"/>
      <c r="AH196" s="55"/>
      <c r="AJ196" s="55"/>
    </row>
    <row r="197" spans="3:36" x14ac:dyDescent="0.15">
      <c r="C197" s="55"/>
      <c r="D197" s="55"/>
      <c r="E197" s="249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AF197" s="55"/>
      <c r="AG197" s="55"/>
      <c r="AH197" s="55"/>
      <c r="AJ197" s="55"/>
    </row>
    <row r="198" spans="3:36" x14ac:dyDescent="0.15">
      <c r="C198" s="55"/>
      <c r="D198" s="55"/>
      <c r="E198" s="249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AF198" s="55"/>
      <c r="AG198" s="55"/>
      <c r="AH198" s="55"/>
      <c r="AJ198" s="55"/>
    </row>
    <row r="199" spans="3:36" x14ac:dyDescent="0.15">
      <c r="C199" s="55"/>
      <c r="D199" s="55"/>
      <c r="E199" s="249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AF199" s="55"/>
      <c r="AG199" s="55"/>
      <c r="AH199" s="55"/>
      <c r="AJ199" s="55"/>
    </row>
    <row r="200" spans="3:36" x14ac:dyDescent="0.15">
      <c r="C200" s="55"/>
      <c r="D200" s="55"/>
      <c r="E200" s="249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AF200" s="55"/>
      <c r="AG200" s="55"/>
      <c r="AH200" s="55"/>
      <c r="AJ200" s="55"/>
    </row>
    <row r="201" spans="3:36" x14ac:dyDescent="0.15">
      <c r="C201" s="55"/>
      <c r="D201" s="55"/>
      <c r="E201" s="249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AF201" s="55"/>
      <c r="AG201" s="55"/>
      <c r="AH201" s="55"/>
      <c r="AJ201" s="55"/>
    </row>
    <row r="202" spans="3:36" x14ac:dyDescent="0.15">
      <c r="C202" s="55"/>
      <c r="D202" s="55"/>
      <c r="E202" s="249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AF202" s="55"/>
      <c r="AG202" s="55"/>
      <c r="AH202" s="55"/>
      <c r="AJ202" s="55"/>
    </row>
    <row r="203" spans="3:36" x14ac:dyDescent="0.15">
      <c r="C203" s="55"/>
      <c r="D203" s="55"/>
      <c r="E203" s="249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AF203" s="55"/>
      <c r="AG203" s="55"/>
      <c r="AH203" s="55"/>
      <c r="AJ203" s="55"/>
    </row>
    <row r="204" spans="3:36" x14ac:dyDescent="0.15">
      <c r="C204" s="55"/>
      <c r="D204" s="55"/>
      <c r="E204" s="249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AF204" s="55"/>
      <c r="AG204" s="55"/>
      <c r="AH204" s="55"/>
      <c r="AJ204" s="55"/>
    </row>
    <row r="205" spans="3:36" x14ac:dyDescent="0.15">
      <c r="C205" s="55"/>
      <c r="D205" s="55"/>
      <c r="E205" s="249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AF205" s="55"/>
      <c r="AG205" s="55"/>
      <c r="AH205" s="55"/>
      <c r="AJ205" s="55"/>
    </row>
    <row r="206" spans="3:36" x14ac:dyDescent="0.15">
      <c r="C206" s="55"/>
      <c r="D206" s="55"/>
      <c r="E206" s="249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AF206" s="55"/>
      <c r="AG206" s="55"/>
      <c r="AH206" s="55"/>
      <c r="AJ206" s="55"/>
    </row>
    <row r="207" spans="3:36" x14ac:dyDescent="0.15">
      <c r="C207" s="55"/>
      <c r="D207" s="55"/>
      <c r="E207" s="249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AF207" s="55"/>
      <c r="AG207" s="55"/>
      <c r="AH207" s="55"/>
      <c r="AJ207" s="55"/>
    </row>
    <row r="208" spans="3:36" x14ac:dyDescent="0.15">
      <c r="C208" s="55"/>
      <c r="D208" s="55"/>
      <c r="E208" s="249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AF208" s="55"/>
      <c r="AG208" s="55"/>
      <c r="AH208" s="55"/>
      <c r="AJ208" s="55"/>
    </row>
    <row r="209" spans="3:36" x14ac:dyDescent="0.15">
      <c r="C209" s="55"/>
      <c r="D209" s="55"/>
      <c r="E209" s="249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AF209" s="55"/>
      <c r="AG209" s="55"/>
      <c r="AH209" s="55"/>
      <c r="AJ209" s="55"/>
    </row>
    <row r="210" spans="3:36" x14ac:dyDescent="0.15">
      <c r="C210" s="55"/>
      <c r="D210" s="55"/>
      <c r="E210" s="249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AF210" s="55"/>
      <c r="AG210" s="55"/>
      <c r="AH210" s="55"/>
      <c r="AJ210" s="55"/>
    </row>
    <row r="211" spans="3:36" x14ac:dyDescent="0.15">
      <c r="C211" s="55"/>
      <c r="D211" s="55"/>
      <c r="E211" s="249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AF211" s="55"/>
      <c r="AG211" s="55"/>
      <c r="AH211" s="55"/>
      <c r="AJ211" s="55"/>
    </row>
    <row r="212" spans="3:36" x14ac:dyDescent="0.15">
      <c r="C212" s="55"/>
      <c r="D212" s="55"/>
      <c r="E212" s="249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AF212" s="55"/>
      <c r="AG212" s="55"/>
      <c r="AH212" s="55"/>
      <c r="AJ212" s="55"/>
    </row>
    <row r="213" spans="3:36" x14ac:dyDescent="0.15">
      <c r="C213" s="55"/>
      <c r="D213" s="55"/>
      <c r="E213" s="249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AF213" s="55"/>
      <c r="AG213" s="55"/>
      <c r="AH213" s="55"/>
      <c r="AJ213" s="55"/>
    </row>
    <row r="214" spans="3:36" x14ac:dyDescent="0.15">
      <c r="C214" s="55"/>
      <c r="D214" s="55"/>
      <c r="E214" s="249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AF214" s="55"/>
      <c r="AG214" s="55"/>
      <c r="AH214" s="55"/>
      <c r="AJ214" s="55"/>
    </row>
    <row r="215" spans="3:36" x14ac:dyDescent="0.15">
      <c r="C215" s="55"/>
      <c r="D215" s="55"/>
      <c r="E215" s="249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AF215" s="55"/>
      <c r="AG215" s="55"/>
      <c r="AH215" s="55"/>
      <c r="AJ215" s="55"/>
    </row>
    <row r="216" spans="3:36" x14ac:dyDescent="0.15">
      <c r="C216" s="55"/>
      <c r="D216" s="55"/>
      <c r="E216" s="249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AF216" s="55"/>
      <c r="AG216" s="55"/>
      <c r="AH216" s="55"/>
      <c r="AJ216" s="55"/>
    </row>
    <row r="217" spans="3:36" x14ac:dyDescent="0.15">
      <c r="C217" s="55"/>
      <c r="D217" s="55"/>
      <c r="E217" s="249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AF217" s="55"/>
      <c r="AG217" s="55"/>
      <c r="AH217" s="55"/>
      <c r="AJ217" s="55"/>
    </row>
    <row r="218" spans="3:36" x14ac:dyDescent="0.15">
      <c r="C218" s="55"/>
      <c r="D218" s="55"/>
      <c r="E218" s="249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AF218" s="55"/>
      <c r="AG218" s="55"/>
      <c r="AH218" s="55"/>
      <c r="AJ218" s="55"/>
    </row>
    <row r="219" spans="3:36" x14ac:dyDescent="0.15">
      <c r="C219" s="55"/>
      <c r="D219" s="55"/>
      <c r="E219" s="249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55"/>
      <c r="AF219" s="55"/>
      <c r="AG219" s="55"/>
      <c r="AH219" s="55"/>
      <c r="AJ219" s="55"/>
    </row>
    <row r="220" spans="3:36" x14ac:dyDescent="0.15">
      <c r="C220" s="55"/>
      <c r="D220" s="55"/>
      <c r="E220" s="249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AF220" s="55"/>
      <c r="AG220" s="55"/>
      <c r="AH220" s="55"/>
      <c r="AJ220" s="55"/>
    </row>
    <row r="221" spans="3:36" x14ac:dyDescent="0.15">
      <c r="C221" s="55"/>
      <c r="D221" s="55"/>
      <c r="E221" s="249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AF221" s="55"/>
      <c r="AG221" s="55"/>
      <c r="AH221" s="55"/>
      <c r="AJ221" s="55"/>
    </row>
    <row r="222" spans="3:36" x14ac:dyDescent="0.15">
      <c r="C222" s="55"/>
      <c r="D222" s="55"/>
      <c r="E222" s="249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AF222" s="55"/>
      <c r="AG222" s="55"/>
      <c r="AH222" s="55"/>
      <c r="AJ222" s="55"/>
    </row>
    <row r="223" spans="3:36" x14ac:dyDescent="0.15">
      <c r="C223" s="55"/>
      <c r="D223" s="55"/>
      <c r="E223" s="249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AF223" s="55"/>
      <c r="AG223" s="55"/>
      <c r="AH223" s="55"/>
      <c r="AJ223" s="55"/>
    </row>
    <row r="224" spans="3:36" x14ac:dyDescent="0.15">
      <c r="C224" s="55"/>
      <c r="D224" s="55"/>
      <c r="E224" s="249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AF224" s="55"/>
      <c r="AG224" s="55"/>
      <c r="AH224" s="55"/>
      <c r="AJ224" s="55"/>
    </row>
    <row r="225" spans="3:36" x14ac:dyDescent="0.15">
      <c r="C225" s="55"/>
      <c r="D225" s="55"/>
      <c r="E225" s="249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AF225" s="55"/>
      <c r="AG225" s="55"/>
      <c r="AH225" s="55"/>
      <c r="AJ225" s="55"/>
    </row>
    <row r="226" spans="3:36" x14ac:dyDescent="0.15">
      <c r="C226" s="55"/>
      <c r="D226" s="55"/>
      <c r="E226" s="249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AF226" s="55"/>
      <c r="AG226" s="55"/>
      <c r="AH226" s="55"/>
      <c r="AJ226" s="55"/>
    </row>
    <row r="227" spans="3:36" x14ac:dyDescent="0.15">
      <c r="C227" s="55"/>
      <c r="D227" s="55"/>
      <c r="E227" s="249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AF227" s="55"/>
      <c r="AG227" s="55"/>
      <c r="AH227" s="55"/>
      <c r="AJ227" s="55"/>
    </row>
    <row r="228" spans="3:36" x14ac:dyDescent="0.15">
      <c r="C228" s="55"/>
      <c r="D228" s="55"/>
      <c r="E228" s="249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AF228" s="55"/>
      <c r="AG228" s="55"/>
      <c r="AH228" s="55"/>
      <c r="AJ228" s="55"/>
    </row>
    <row r="229" spans="3:36" x14ac:dyDescent="0.15">
      <c r="C229" s="55"/>
      <c r="D229" s="55"/>
      <c r="E229" s="249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AF229" s="55"/>
      <c r="AG229" s="55"/>
      <c r="AH229" s="55"/>
      <c r="AJ229" s="55"/>
    </row>
    <row r="230" spans="3:36" x14ac:dyDescent="0.15">
      <c r="C230" s="55"/>
      <c r="D230" s="55"/>
      <c r="E230" s="249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AF230" s="55"/>
      <c r="AG230" s="55"/>
      <c r="AH230" s="55"/>
      <c r="AJ230" s="55"/>
    </row>
    <row r="231" spans="3:36" x14ac:dyDescent="0.15">
      <c r="C231" s="55"/>
      <c r="D231" s="55"/>
      <c r="E231" s="249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AF231" s="55"/>
      <c r="AG231" s="55"/>
      <c r="AH231" s="55"/>
      <c r="AJ231" s="55"/>
    </row>
    <row r="232" spans="3:36" x14ac:dyDescent="0.15">
      <c r="C232" s="55"/>
      <c r="D232" s="55"/>
      <c r="E232" s="249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AF232" s="55"/>
      <c r="AG232" s="55"/>
      <c r="AH232" s="55"/>
      <c r="AJ232" s="55"/>
    </row>
    <row r="233" spans="3:36" x14ac:dyDescent="0.15">
      <c r="C233" s="55"/>
      <c r="D233" s="55"/>
      <c r="E233" s="249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AF233" s="55"/>
      <c r="AG233" s="55"/>
      <c r="AH233" s="55"/>
      <c r="AJ233" s="55"/>
    </row>
    <row r="234" spans="3:36" x14ac:dyDescent="0.15">
      <c r="C234" s="55"/>
      <c r="D234" s="55"/>
      <c r="E234" s="249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AF234" s="55"/>
      <c r="AG234" s="55"/>
      <c r="AH234" s="55"/>
      <c r="AJ234" s="55"/>
    </row>
    <row r="235" spans="3:36" x14ac:dyDescent="0.15">
      <c r="C235" s="55"/>
      <c r="D235" s="55"/>
      <c r="E235" s="249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AF235" s="55"/>
      <c r="AG235" s="55"/>
      <c r="AH235" s="55"/>
      <c r="AJ235" s="55"/>
    </row>
    <row r="236" spans="3:36" x14ac:dyDescent="0.15">
      <c r="C236" s="55"/>
      <c r="D236" s="55"/>
      <c r="E236" s="249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AF236" s="55"/>
      <c r="AG236" s="55"/>
      <c r="AH236" s="55"/>
      <c r="AJ236" s="55"/>
    </row>
    <row r="237" spans="3:36" x14ac:dyDescent="0.15">
      <c r="C237" s="55"/>
      <c r="D237" s="55"/>
      <c r="E237" s="249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AF237" s="55"/>
      <c r="AG237" s="55"/>
      <c r="AH237" s="55"/>
      <c r="AJ237" s="55"/>
    </row>
    <row r="238" spans="3:36" x14ac:dyDescent="0.15">
      <c r="C238" s="55"/>
      <c r="D238" s="55"/>
      <c r="E238" s="249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AF238" s="55"/>
      <c r="AG238" s="55"/>
      <c r="AH238" s="55"/>
      <c r="AJ238" s="55"/>
    </row>
    <row r="239" spans="3:36" x14ac:dyDescent="0.15">
      <c r="C239" s="55"/>
      <c r="D239" s="55"/>
      <c r="E239" s="249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AF239" s="55"/>
      <c r="AG239" s="55"/>
      <c r="AH239" s="55"/>
      <c r="AJ239" s="55"/>
    </row>
    <row r="240" spans="3:36" x14ac:dyDescent="0.15">
      <c r="C240" s="55"/>
      <c r="D240" s="55"/>
      <c r="E240" s="249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AF240" s="55"/>
      <c r="AG240" s="55"/>
      <c r="AH240" s="55"/>
      <c r="AJ240" s="55"/>
    </row>
    <row r="241" spans="3:36" x14ac:dyDescent="0.15">
      <c r="C241" s="55"/>
      <c r="D241" s="55"/>
      <c r="E241" s="249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AF241" s="55"/>
      <c r="AG241" s="55"/>
      <c r="AH241" s="55"/>
      <c r="AJ241" s="55"/>
    </row>
    <row r="242" spans="3:36" x14ac:dyDescent="0.15">
      <c r="C242" s="55"/>
      <c r="D242" s="55"/>
      <c r="E242" s="249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AF242" s="55"/>
      <c r="AG242" s="55"/>
      <c r="AH242" s="55"/>
      <c r="AJ242" s="55"/>
    </row>
    <row r="243" spans="3:36" x14ac:dyDescent="0.15">
      <c r="C243" s="55"/>
      <c r="D243" s="55"/>
      <c r="E243" s="249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AF243" s="55"/>
      <c r="AG243" s="55"/>
      <c r="AH243" s="55"/>
      <c r="AJ243" s="55"/>
    </row>
    <row r="244" spans="3:36" x14ac:dyDescent="0.15">
      <c r="C244" s="55"/>
      <c r="D244" s="55"/>
      <c r="E244" s="249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AF244" s="55"/>
      <c r="AG244" s="55"/>
      <c r="AH244" s="55"/>
      <c r="AJ244" s="55"/>
    </row>
    <row r="245" spans="3:36" x14ac:dyDescent="0.15">
      <c r="C245" s="55"/>
      <c r="D245" s="55"/>
      <c r="E245" s="249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AF245" s="55"/>
      <c r="AG245" s="55"/>
      <c r="AH245" s="55"/>
      <c r="AJ245" s="55"/>
    </row>
    <row r="246" spans="3:36" x14ac:dyDescent="0.15">
      <c r="C246" s="55"/>
      <c r="D246" s="55"/>
      <c r="E246" s="249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AF246" s="55"/>
      <c r="AG246" s="55"/>
      <c r="AH246" s="55"/>
      <c r="AJ246" s="55"/>
    </row>
    <row r="247" spans="3:36" x14ac:dyDescent="0.15">
      <c r="C247" s="55"/>
      <c r="D247" s="55"/>
      <c r="E247" s="249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AF247" s="55"/>
      <c r="AG247" s="55"/>
      <c r="AH247" s="55"/>
      <c r="AJ247" s="55"/>
    </row>
    <row r="248" spans="3:36" x14ac:dyDescent="0.15">
      <c r="C248" s="55"/>
      <c r="D248" s="55"/>
      <c r="E248" s="249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AF248" s="55"/>
      <c r="AG248" s="55"/>
      <c r="AH248" s="55"/>
      <c r="AJ248" s="55"/>
    </row>
    <row r="249" spans="3:36" x14ac:dyDescent="0.15">
      <c r="C249" s="55"/>
      <c r="D249" s="55"/>
      <c r="E249" s="249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AF249" s="55"/>
      <c r="AG249" s="55"/>
      <c r="AH249" s="55"/>
      <c r="AJ249" s="55"/>
    </row>
    <row r="250" spans="3:36" x14ac:dyDescent="0.15">
      <c r="C250" s="55"/>
      <c r="D250" s="55"/>
      <c r="E250" s="249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AF250" s="55"/>
      <c r="AG250" s="55"/>
      <c r="AH250" s="55"/>
      <c r="AJ250" s="55"/>
    </row>
    <row r="251" spans="3:36" x14ac:dyDescent="0.15">
      <c r="C251" s="55"/>
      <c r="D251" s="55"/>
      <c r="E251" s="249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AF251" s="55"/>
      <c r="AG251" s="55"/>
      <c r="AH251" s="55"/>
      <c r="AJ251" s="55"/>
    </row>
    <row r="252" spans="3:36" x14ac:dyDescent="0.15">
      <c r="C252" s="55"/>
      <c r="D252" s="55"/>
      <c r="E252" s="249"/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/>
      <c r="Q252" s="55"/>
      <c r="R252" s="55"/>
      <c r="S252" s="55"/>
      <c r="T252" s="55"/>
      <c r="U252" s="55"/>
      <c r="AF252" s="55"/>
      <c r="AG252" s="55"/>
      <c r="AH252" s="55"/>
      <c r="AJ252" s="55"/>
    </row>
    <row r="253" spans="3:36" x14ac:dyDescent="0.15">
      <c r="C253" s="55"/>
      <c r="D253" s="55"/>
      <c r="E253" s="249"/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AF253" s="55"/>
      <c r="AG253" s="55"/>
      <c r="AH253" s="55"/>
      <c r="AJ253" s="55"/>
    </row>
    <row r="254" spans="3:36" x14ac:dyDescent="0.15">
      <c r="C254" s="55"/>
      <c r="D254" s="55"/>
      <c r="E254" s="249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AF254" s="55"/>
      <c r="AG254" s="55"/>
      <c r="AH254" s="55"/>
      <c r="AJ254" s="55"/>
    </row>
    <row r="255" spans="3:36" x14ac:dyDescent="0.15">
      <c r="C255" s="55"/>
      <c r="D255" s="55"/>
      <c r="E255" s="249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55"/>
      <c r="U255" s="55"/>
      <c r="AF255" s="55"/>
      <c r="AG255" s="55"/>
      <c r="AH255" s="55"/>
      <c r="AJ255" s="55"/>
    </row>
    <row r="256" spans="3:36" x14ac:dyDescent="0.15">
      <c r="C256" s="55"/>
      <c r="D256" s="55"/>
      <c r="E256" s="249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AF256" s="55"/>
      <c r="AG256" s="55"/>
      <c r="AH256" s="55"/>
      <c r="AJ256" s="55"/>
    </row>
    <row r="257" spans="3:36" x14ac:dyDescent="0.15">
      <c r="C257" s="55"/>
      <c r="D257" s="55"/>
      <c r="E257" s="249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AF257" s="55"/>
      <c r="AG257" s="55"/>
      <c r="AH257" s="55"/>
      <c r="AJ257" s="55"/>
    </row>
    <row r="258" spans="3:36" x14ac:dyDescent="0.15">
      <c r="C258" s="55"/>
      <c r="D258" s="55"/>
      <c r="E258" s="249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AF258" s="55"/>
      <c r="AG258" s="55"/>
      <c r="AH258" s="55"/>
      <c r="AJ258" s="55"/>
    </row>
    <row r="259" spans="3:36" x14ac:dyDescent="0.15">
      <c r="C259" s="55"/>
      <c r="D259" s="55"/>
      <c r="E259" s="249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AF259" s="55"/>
      <c r="AG259" s="55"/>
      <c r="AH259" s="55"/>
      <c r="AJ259" s="55"/>
    </row>
    <row r="260" spans="3:36" x14ac:dyDescent="0.15">
      <c r="C260" s="55"/>
      <c r="D260" s="55"/>
      <c r="E260" s="249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AF260" s="55"/>
      <c r="AG260" s="55"/>
      <c r="AH260" s="55"/>
      <c r="AJ260" s="55"/>
    </row>
    <row r="261" spans="3:36" x14ac:dyDescent="0.15">
      <c r="C261" s="55"/>
      <c r="D261" s="55"/>
      <c r="E261" s="249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AF261" s="55"/>
      <c r="AG261" s="55"/>
      <c r="AH261" s="55"/>
      <c r="AJ261" s="55"/>
    </row>
    <row r="262" spans="3:36" x14ac:dyDescent="0.15">
      <c r="C262" s="55"/>
      <c r="D262" s="55"/>
      <c r="E262" s="249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AF262" s="55"/>
      <c r="AG262" s="55"/>
      <c r="AH262" s="55"/>
      <c r="AJ262" s="55"/>
    </row>
    <row r="263" spans="3:36" x14ac:dyDescent="0.15">
      <c r="C263" s="55"/>
      <c r="D263" s="55"/>
      <c r="E263" s="249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AF263" s="55"/>
      <c r="AG263" s="55"/>
      <c r="AH263" s="55"/>
      <c r="AJ263" s="55"/>
    </row>
    <row r="264" spans="3:36" x14ac:dyDescent="0.15">
      <c r="C264" s="55"/>
      <c r="D264" s="55"/>
      <c r="E264" s="249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AF264" s="55"/>
      <c r="AG264" s="55"/>
      <c r="AH264" s="55"/>
      <c r="AJ264" s="55"/>
    </row>
    <row r="265" spans="3:36" x14ac:dyDescent="0.15">
      <c r="C265" s="55"/>
      <c r="D265" s="55"/>
      <c r="E265" s="249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AF265" s="55"/>
      <c r="AG265" s="55"/>
      <c r="AH265" s="55"/>
      <c r="AJ265" s="55"/>
    </row>
    <row r="266" spans="3:36" x14ac:dyDescent="0.15">
      <c r="C266" s="55"/>
      <c r="D266" s="55"/>
      <c r="E266" s="249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AF266" s="55"/>
      <c r="AG266" s="55"/>
      <c r="AH266" s="55"/>
      <c r="AJ266" s="55"/>
    </row>
    <row r="267" spans="3:36" x14ac:dyDescent="0.15">
      <c r="C267" s="55"/>
      <c r="D267" s="55"/>
      <c r="E267" s="249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AF267" s="55"/>
      <c r="AG267" s="55"/>
      <c r="AH267" s="55"/>
      <c r="AJ267" s="55"/>
    </row>
    <row r="268" spans="3:36" x14ac:dyDescent="0.15">
      <c r="C268" s="55"/>
      <c r="D268" s="55"/>
      <c r="E268" s="249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AF268" s="55"/>
      <c r="AG268" s="55"/>
      <c r="AH268" s="55"/>
      <c r="AJ268" s="55"/>
    </row>
    <row r="269" spans="3:36" x14ac:dyDescent="0.15">
      <c r="C269" s="55"/>
      <c r="D269" s="55"/>
      <c r="E269" s="249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AF269" s="55"/>
      <c r="AG269" s="55"/>
      <c r="AH269" s="55"/>
      <c r="AJ269" s="55"/>
    </row>
    <row r="270" spans="3:36" x14ac:dyDescent="0.15">
      <c r="C270" s="55"/>
      <c r="D270" s="55"/>
      <c r="E270" s="249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AF270" s="55"/>
      <c r="AG270" s="55"/>
      <c r="AH270" s="55"/>
      <c r="AJ270" s="55"/>
    </row>
    <row r="271" spans="3:36" x14ac:dyDescent="0.15">
      <c r="C271" s="55"/>
      <c r="D271" s="55"/>
      <c r="E271" s="249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AF271" s="55"/>
      <c r="AG271" s="55"/>
      <c r="AH271" s="55"/>
      <c r="AJ271" s="55"/>
    </row>
    <row r="272" spans="3:36" x14ac:dyDescent="0.15">
      <c r="C272" s="55"/>
      <c r="D272" s="55"/>
      <c r="E272" s="249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AF272" s="55"/>
      <c r="AG272" s="55"/>
      <c r="AH272" s="55"/>
      <c r="AJ272" s="55"/>
    </row>
    <row r="273" spans="3:36" x14ac:dyDescent="0.15">
      <c r="C273" s="55"/>
      <c r="D273" s="55"/>
      <c r="E273" s="249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AF273" s="55"/>
      <c r="AG273" s="55"/>
      <c r="AH273" s="55"/>
      <c r="AJ273" s="55"/>
    </row>
    <row r="274" spans="3:36" x14ac:dyDescent="0.15">
      <c r="C274" s="55"/>
      <c r="D274" s="55"/>
      <c r="E274" s="249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AF274" s="55"/>
      <c r="AG274" s="55"/>
      <c r="AH274" s="55"/>
      <c r="AJ274" s="55"/>
    </row>
    <row r="275" spans="3:36" x14ac:dyDescent="0.15">
      <c r="C275" s="55"/>
      <c r="D275" s="55"/>
      <c r="E275" s="249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AF275" s="55"/>
      <c r="AG275" s="55"/>
      <c r="AH275" s="55"/>
      <c r="AJ275" s="55"/>
    </row>
    <row r="276" spans="3:36" x14ac:dyDescent="0.15">
      <c r="C276" s="55"/>
      <c r="D276" s="55"/>
      <c r="E276" s="249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AF276" s="55"/>
      <c r="AG276" s="55"/>
      <c r="AH276" s="55"/>
      <c r="AJ276" s="55"/>
    </row>
    <row r="277" spans="3:36" x14ac:dyDescent="0.15">
      <c r="C277" s="55"/>
      <c r="D277" s="55"/>
      <c r="E277" s="249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AF277" s="55"/>
      <c r="AG277" s="55"/>
      <c r="AH277" s="55"/>
      <c r="AJ277" s="55"/>
    </row>
    <row r="278" spans="3:36" x14ac:dyDescent="0.15">
      <c r="C278" s="55"/>
      <c r="D278" s="55"/>
      <c r="E278" s="249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AF278" s="55"/>
      <c r="AG278" s="55"/>
      <c r="AH278" s="55"/>
      <c r="AJ278" s="55"/>
    </row>
    <row r="279" spans="3:36" x14ac:dyDescent="0.15">
      <c r="C279" s="55"/>
      <c r="D279" s="55"/>
      <c r="E279" s="249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AF279" s="55"/>
      <c r="AG279" s="55"/>
      <c r="AH279" s="55"/>
      <c r="AJ279" s="55"/>
    </row>
    <row r="280" spans="3:36" x14ac:dyDescent="0.15">
      <c r="C280" s="55"/>
      <c r="D280" s="55"/>
      <c r="E280" s="249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AF280" s="55"/>
      <c r="AG280" s="55"/>
      <c r="AH280" s="55"/>
      <c r="AJ280" s="55"/>
    </row>
    <row r="281" spans="3:36" x14ac:dyDescent="0.15">
      <c r="C281" s="55"/>
      <c r="D281" s="55"/>
      <c r="E281" s="249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AF281" s="55"/>
      <c r="AG281" s="55"/>
      <c r="AH281" s="55"/>
      <c r="AJ281" s="55"/>
    </row>
    <row r="282" spans="3:36" x14ac:dyDescent="0.15">
      <c r="C282" s="55"/>
      <c r="D282" s="55"/>
      <c r="E282" s="249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AF282" s="55"/>
      <c r="AG282" s="55"/>
      <c r="AH282" s="55"/>
      <c r="AJ282" s="55"/>
    </row>
    <row r="283" spans="3:36" x14ac:dyDescent="0.15">
      <c r="C283" s="55"/>
      <c r="D283" s="55"/>
      <c r="E283" s="249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AF283" s="55"/>
      <c r="AG283" s="55"/>
      <c r="AH283" s="55"/>
      <c r="AJ283" s="55"/>
    </row>
    <row r="284" spans="3:36" x14ac:dyDescent="0.15">
      <c r="C284" s="55"/>
      <c r="D284" s="55"/>
      <c r="E284" s="249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AF284" s="55"/>
      <c r="AG284" s="55"/>
      <c r="AH284" s="55"/>
      <c r="AJ284" s="55"/>
    </row>
    <row r="285" spans="3:36" x14ac:dyDescent="0.15">
      <c r="C285" s="55"/>
      <c r="D285" s="55"/>
      <c r="E285" s="249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AF285" s="55"/>
      <c r="AG285" s="55"/>
      <c r="AH285" s="55"/>
      <c r="AJ285" s="55"/>
    </row>
    <row r="286" spans="3:36" x14ac:dyDescent="0.15">
      <c r="C286" s="55"/>
      <c r="D286" s="55"/>
      <c r="E286" s="249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AF286" s="55"/>
      <c r="AG286" s="55"/>
      <c r="AH286" s="55"/>
      <c r="AJ286" s="55"/>
    </row>
    <row r="287" spans="3:36" x14ac:dyDescent="0.15">
      <c r="C287" s="55"/>
      <c r="D287" s="55"/>
      <c r="E287" s="249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AF287" s="55"/>
      <c r="AG287" s="55"/>
      <c r="AH287" s="55"/>
      <c r="AJ287" s="55"/>
    </row>
    <row r="288" spans="3:36" x14ac:dyDescent="0.15">
      <c r="C288" s="55"/>
      <c r="D288" s="55"/>
      <c r="E288" s="249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/>
      <c r="Q288" s="55"/>
      <c r="R288" s="55"/>
      <c r="S288" s="55"/>
      <c r="T288" s="55"/>
      <c r="U288" s="55"/>
      <c r="AF288" s="55"/>
      <c r="AG288" s="55"/>
      <c r="AH288" s="55"/>
      <c r="AJ288" s="55"/>
    </row>
    <row r="289" spans="3:36" x14ac:dyDescent="0.15">
      <c r="C289" s="55"/>
      <c r="D289" s="55"/>
      <c r="E289" s="249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/>
      <c r="Q289" s="55"/>
      <c r="R289" s="55"/>
      <c r="S289" s="55"/>
      <c r="T289" s="55"/>
      <c r="U289" s="55"/>
      <c r="AF289" s="55"/>
      <c r="AG289" s="55"/>
      <c r="AH289" s="55"/>
      <c r="AJ289" s="55"/>
    </row>
    <row r="290" spans="3:36" x14ac:dyDescent="0.15">
      <c r="C290" s="55"/>
      <c r="D290" s="55"/>
      <c r="E290" s="249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AF290" s="55"/>
      <c r="AG290" s="55"/>
      <c r="AH290" s="55"/>
      <c r="AJ290" s="55"/>
    </row>
    <row r="291" spans="3:36" x14ac:dyDescent="0.15">
      <c r="C291" s="55"/>
      <c r="D291" s="55"/>
      <c r="E291" s="249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55"/>
      <c r="U291" s="55"/>
      <c r="AF291" s="55"/>
      <c r="AG291" s="55"/>
      <c r="AH291" s="55"/>
      <c r="AJ291" s="55"/>
    </row>
    <row r="292" spans="3:36" x14ac:dyDescent="0.15">
      <c r="C292" s="55"/>
      <c r="D292" s="55"/>
      <c r="E292" s="249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AF292" s="55"/>
      <c r="AG292" s="55"/>
      <c r="AH292" s="55"/>
      <c r="AJ292" s="55"/>
    </row>
    <row r="293" spans="3:36" x14ac:dyDescent="0.15">
      <c r="C293" s="55"/>
      <c r="D293" s="55"/>
      <c r="E293" s="249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AF293" s="55"/>
      <c r="AG293" s="55"/>
      <c r="AH293" s="55"/>
      <c r="AJ293" s="55"/>
    </row>
    <row r="294" spans="3:36" x14ac:dyDescent="0.15">
      <c r="C294" s="55"/>
      <c r="D294" s="55"/>
      <c r="E294" s="249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AF294" s="55"/>
      <c r="AG294" s="55"/>
      <c r="AH294" s="55"/>
      <c r="AJ294" s="55"/>
    </row>
    <row r="295" spans="3:36" x14ac:dyDescent="0.15">
      <c r="C295" s="55"/>
      <c r="D295" s="55"/>
      <c r="E295" s="249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AF295" s="55"/>
      <c r="AG295" s="55"/>
      <c r="AH295" s="55"/>
      <c r="AJ295" s="55"/>
    </row>
    <row r="296" spans="3:36" x14ac:dyDescent="0.15">
      <c r="C296" s="55"/>
      <c r="D296" s="55"/>
      <c r="E296" s="249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AF296" s="55"/>
      <c r="AG296" s="55"/>
      <c r="AH296" s="55"/>
      <c r="AJ296" s="55"/>
    </row>
    <row r="297" spans="3:36" x14ac:dyDescent="0.15">
      <c r="C297" s="55"/>
      <c r="D297" s="55"/>
      <c r="E297" s="249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AF297" s="55"/>
      <c r="AG297" s="55"/>
      <c r="AH297" s="55"/>
      <c r="AJ297" s="55"/>
    </row>
    <row r="298" spans="3:36" x14ac:dyDescent="0.15">
      <c r="C298" s="55"/>
      <c r="D298" s="55"/>
      <c r="E298" s="249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AF298" s="55"/>
      <c r="AG298" s="55"/>
      <c r="AH298" s="55"/>
      <c r="AJ298" s="55"/>
    </row>
    <row r="299" spans="3:36" x14ac:dyDescent="0.15">
      <c r="C299" s="55"/>
      <c r="D299" s="55"/>
      <c r="E299" s="249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AF299" s="55"/>
      <c r="AG299" s="55"/>
      <c r="AH299" s="55"/>
      <c r="AJ299" s="55"/>
    </row>
    <row r="300" spans="3:36" x14ac:dyDescent="0.15">
      <c r="C300" s="55"/>
      <c r="D300" s="55"/>
      <c r="E300" s="249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AF300" s="55"/>
      <c r="AG300" s="55"/>
      <c r="AH300" s="55"/>
      <c r="AJ300" s="55"/>
    </row>
    <row r="301" spans="3:36" x14ac:dyDescent="0.15">
      <c r="C301" s="55"/>
      <c r="D301" s="55"/>
      <c r="E301" s="249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AF301" s="55"/>
      <c r="AG301" s="55"/>
      <c r="AH301" s="55"/>
      <c r="AJ301" s="55"/>
    </row>
    <row r="302" spans="3:36" x14ac:dyDescent="0.15">
      <c r="C302" s="55"/>
      <c r="D302" s="55"/>
      <c r="E302" s="249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AF302" s="55"/>
      <c r="AG302" s="55"/>
      <c r="AH302" s="55"/>
      <c r="AJ302" s="55"/>
    </row>
    <row r="303" spans="3:36" x14ac:dyDescent="0.15">
      <c r="C303" s="55"/>
      <c r="D303" s="55"/>
      <c r="E303" s="249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AF303" s="55"/>
      <c r="AG303" s="55"/>
      <c r="AH303" s="55"/>
      <c r="AJ303" s="55"/>
    </row>
    <row r="304" spans="3:36" x14ac:dyDescent="0.15">
      <c r="C304" s="55"/>
      <c r="D304" s="55"/>
      <c r="E304" s="249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AF304" s="55"/>
      <c r="AG304" s="55"/>
      <c r="AH304" s="55"/>
      <c r="AJ304" s="55"/>
    </row>
    <row r="305" spans="3:36" x14ac:dyDescent="0.15">
      <c r="C305" s="55"/>
      <c r="D305" s="55"/>
      <c r="E305" s="249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AF305" s="55"/>
      <c r="AG305" s="55"/>
      <c r="AH305" s="55"/>
      <c r="AJ305" s="55"/>
    </row>
    <row r="306" spans="3:36" x14ac:dyDescent="0.15">
      <c r="C306" s="55"/>
      <c r="D306" s="55"/>
      <c r="E306" s="249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AF306" s="55"/>
      <c r="AG306" s="55"/>
      <c r="AH306" s="55"/>
      <c r="AJ306" s="55"/>
    </row>
    <row r="307" spans="3:36" x14ac:dyDescent="0.15">
      <c r="C307" s="55"/>
      <c r="D307" s="55"/>
      <c r="E307" s="249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AF307" s="55"/>
      <c r="AG307" s="55"/>
      <c r="AH307" s="55"/>
      <c r="AJ307" s="55"/>
    </row>
    <row r="308" spans="3:36" x14ac:dyDescent="0.15">
      <c r="C308" s="55"/>
      <c r="D308" s="55"/>
      <c r="E308" s="249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AF308" s="55"/>
      <c r="AG308" s="55"/>
      <c r="AH308" s="55"/>
      <c r="AJ308" s="55"/>
    </row>
    <row r="309" spans="3:36" x14ac:dyDescent="0.15">
      <c r="C309" s="55"/>
      <c r="D309" s="55"/>
      <c r="E309" s="249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AF309" s="55"/>
      <c r="AG309" s="55"/>
      <c r="AH309" s="55"/>
      <c r="AJ309" s="55"/>
    </row>
    <row r="310" spans="3:36" x14ac:dyDescent="0.15">
      <c r="C310" s="55"/>
      <c r="D310" s="55"/>
      <c r="E310" s="249"/>
      <c r="F310" s="55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AF310" s="55"/>
      <c r="AG310" s="55"/>
      <c r="AH310" s="55"/>
      <c r="AJ310" s="55"/>
    </row>
    <row r="311" spans="3:36" x14ac:dyDescent="0.15">
      <c r="C311" s="55"/>
      <c r="D311" s="55"/>
      <c r="E311" s="249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AF311" s="55"/>
      <c r="AG311" s="55"/>
      <c r="AH311" s="55"/>
      <c r="AJ311" s="55"/>
    </row>
    <row r="312" spans="3:36" x14ac:dyDescent="0.15">
      <c r="C312" s="55"/>
      <c r="D312" s="55"/>
      <c r="E312" s="249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AF312" s="55"/>
      <c r="AG312" s="55"/>
      <c r="AH312" s="55"/>
      <c r="AJ312" s="55"/>
    </row>
    <row r="313" spans="3:36" x14ac:dyDescent="0.15">
      <c r="C313" s="55"/>
      <c r="D313" s="55"/>
      <c r="E313" s="249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AF313" s="55"/>
      <c r="AG313" s="55"/>
      <c r="AH313" s="55"/>
      <c r="AJ313" s="55"/>
    </row>
    <row r="314" spans="3:36" x14ac:dyDescent="0.15">
      <c r="C314" s="55"/>
      <c r="D314" s="55"/>
      <c r="E314" s="249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AF314" s="55"/>
      <c r="AG314" s="55"/>
      <c r="AH314" s="55"/>
      <c r="AJ314" s="55"/>
    </row>
    <row r="315" spans="3:36" x14ac:dyDescent="0.15">
      <c r="C315" s="55"/>
      <c r="D315" s="55"/>
      <c r="E315" s="249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AF315" s="55"/>
      <c r="AG315" s="55"/>
      <c r="AH315" s="55"/>
      <c r="AJ315" s="55"/>
    </row>
    <row r="316" spans="3:36" x14ac:dyDescent="0.15">
      <c r="C316" s="55"/>
      <c r="D316" s="55"/>
      <c r="E316" s="249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AF316" s="55"/>
      <c r="AG316" s="55"/>
      <c r="AH316" s="55"/>
      <c r="AJ316" s="55"/>
    </row>
    <row r="317" spans="3:36" x14ac:dyDescent="0.15">
      <c r="C317" s="55"/>
      <c r="D317" s="55"/>
      <c r="E317" s="249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AF317" s="55"/>
      <c r="AG317" s="55"/>
      <c r="AH317" s="55"/>
      <c r="AJ317" s="55"/>
    </row>
    <row r="318" spans="3:36" x14ac:dyDescent="0.15">
      <c r="C318" s="55"/>
      <c r="D318" s="55"/>
      <c r="E318" s="249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AF318" s="55"/>
      <c r="AG318" s="55"/>
      <c r="AH318" s="55"/>
      <c r="AJ318" s="55"/>
    </row>
    <row r="319" spans="3:36" x14ac:dyDescent="0.15">
      <c r="C319" s="55"/>
      <c r="D319" s="55"/>
      <c r="E319" s="249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AF319" s="55"/>
      <c r="AG319" s="55"/>
      <c r="AH319" s="55"/>
      <c r="AJ319" s="55"/>
    </row>
    <row r="320" spans="3:36" x14ac:dyDescent="0.15">
      <c r="C320" s="55"/>
      <c r="D320" s="55"/>
      <c r="E320" s="249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AF320" s="55"/>
      <c r="AG320" s="55"/>
      <c r="AH320" s="55"/>
      <c r="AJ320" s="55"/>
    </row>
    <row r="321" spans="3:36" x14ac:dyDescent="0.15">
      <c r="C321" s="55"/>
      <c r="D321" s="55"/>
      <c r="E321" s="249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AF321" s="55"/>
      <c r="AG321" s="55"/>
      <c r="AH321" s="55"/>
      <c r="AJ321" s="55"/>
    </row>
    <row r="322" spans="3:36" x14ac:dyDescent="0.15">
      <c r="C322" s="55"/>
      <c r="D322" s="55"/>
      <c r="E322" s="249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AF322" s="55"/>
      <c r="AG322" s="55"/>
      <c r="AH322" s="55"/>
      <c r="AJ322" s="55"/>
    </row>
    <row r="323" spans="3:36" x14ac:dyDescent="0.15">
      <c r="C323" s="55"/>
      <c r="D323" s="55"/>
      <c r="E323" s="249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AF323" s="55"/>
      <c r="AG323" s="55"/>
      <c r="AH323" s="55"/>
      <c r="AJ323" s="55"/>
    </row>
    <row r="324" spans="3:36" x14ac:dyDescent="0.15">
      <c r="C324" s="55"/>
      <c r="D324" s="55"/>
      <c r="E324" s="249"/>
      <c r="F324" s="55"/>
      <c r="G324" s="55"/>
      <c r="H324" s="55"/>
      <c r="I324" s="55"/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55"/>
      <c r="U324" s="55"/>
      <c r="AF324" s="55"/>
      <c r="AG324" s="55"/>
      <c r="AH324" s="55"/>
      <c r="AJ324" s="55"/>
    </row>
    <row r="325" spans="3:36" x14ac:dyDescent="0.15">
      <c r="C325" s="55"/>
      <c r="D325" s="55"/>
      <c r="E325" s="249"/>
      <c r="F325" s="55"/>
      <c r="G325" s="55"/>
      <c r="H325" s="55"/>
      <c r="I325" s="55"/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55"/>
      <c r="U325" s="55"/>
      <c r="AF325" s="55"/>
      <c r="AG325" s="55"/>
      <c r="AH325" s="55"/>
      <c r="AJ325" s="55"/>
    </row>
    <row r="326" spans="3:36" x14ac:dyDescent="0.15">
      <c r="C326" s="55"/>
      <c r="D326" s="55"/>
      <c r="E326" s="249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AF326" s="55"/>
      <c r="AG326" s="55"/>
      <c r="AH326" s="55"/>
      <c r="AJ326" s="55"/>
    </row>
    <row r="327" spans="3:36" x14ac:dyDescent="0.15">
      <c r="C327" s="55"/>
      <c r="D327" s="55"/>
      <c r="E327" s="249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AF327" s="55"/>
      <c r="AG327" s="55"/>
      <c r="AH327" s="55"/>
      <c r="AJ327" s="55"/>
    </row>
    <row r="328" spans="3:36" x14ac:dyDescent="0.15">
      <c r="C328" s="55"/>
      <c r="D328" s="55"/>
      <c r="E328" s="249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AF328" s="55"/>
      <c r="AG328" s="55"/>
      <c r="AH328" s="55"/>
      <c r="AJ328" s="55"/>
    </row>
    <row r="329" spans="3:36" x14ac:dyDescent="0.15">
      <c r="C329" s="55"/>
      <c r="D329" s="55"/>
      <c r="E329" s="249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AF329" s="55"/>
      <c r="AG329" s="55"/>
      <c r="AH329" s="55"/>
      <c r="AJ329" s="55"/>
    </row>
    <row r="330" spans="3:36" x14ac:dyDescent="0.15">
      <c r="C330" s="55"/>
      <c r="D330" s="55"/>
      <c r="E330" s="249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AF330" s="55"/>
      <c r="AG330" s="55"/>
      <c r="AH330" s="55"/>
      <c r="AJ330" s="55"/>
    </row>
    <row r="331" spans="3:36" x14ac:dyDescent="0.15">
      <c r="C331" s="55"/>
      <c r="D331" s="55"/>
      <c r="E331" s="249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AF331" s="55"/>
      <c r="AG331" s="55"/>
      <c r="AH331" s="55"/>
      <c r="AJ331" s="55"/>
    </row>
    <row r="332" spans="3:36" x14ac:dyDescent="0.15">
      <c r="C332" s="55"/>
      <c r="D332" s="55"/>
      <c r="E332" s="249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AF332" s="55"/>
      <c r="AG332" s="55"/>
      <c r="AH332" s="55"/>
      <c r="AJ332" s="55"/>
    </row>
    <row r="333" spans="3:36" x14ac:dyDescent="0.15">
      <c r="C333" s="55"/>
      <c r="D333" s="55"/>
      <c r="E333" s="249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AF333" s="55"/>
      <c r="AG333" s="55"/>
      <c r="AH333" s="55"/>
      <c r="AJ333" s="55"/>
    </row>
    <row r="334" spans="3:36" x14ac:dyDescent="0.15">
      <c r="C334" s="55"/>
      <c r="D334" s="55"/>
      <c r="E334" s="249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AF334" s="55"/>
      <c r="AG334" s="55"/>
      <c r="AH334" s="55"/>
      <c r="AJ334" s="55"/>
    </row>
    <row r="335" spans="3:36" x14ac:dyDescent="0.15">
      <c r="C335" s="55"/>
      <c r="D335" s="55"/>
      <c r="E335" s="249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AF335" s="55"/>
      <c r="AG335" s="55"/>
      <c r="AH335" s="55"/>
      <c r="AJ335" s="55"/>
    </row>
    <row r="336" spans="3:36" x14ac:dyDescent="0.15">
      <c r="C336" s="55"/>
      <c r="D336" s="55"/>
      <c r="E336" s="249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AF336" s="55"/>
      <c r="AG336" s="55"/>
      <c r="AH336" s="55"/>
      <c r="AJ336" s="55"/>
    </row>
    <row r="337" spans="3:36" x14ac:dyDescent="0.15">
      <c r="C337" s="55"/>
      <c r="D337" s="55"/>
      <c r="E337" s="249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AF337" s="55"/>
      <c r="AG337" s="55"/>
      <c r="AH337" s="55"/>
      <c r="AJ337" s="55"/>
    </row>
    <row r="338" spans="3:36" x14ac:dyDescent="0.15">
      <c r="C338" s="55"/>
      <c r="D338" s="55"/>
      <c r="E338" s="249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AF338" s="55"/>
      <c r="AG338" s="55"/>
      <c r="AH338" s="55"/>
      <c r="AJ338" s="55"/>
    </row>
    <row r="339" spans="3:36" x14ac:dyDescent="0.15">
      <c r="C339" s="55"/>
      <c r="D339" s="55"/>
      <c r="E339" s="249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AF339" s="55"/>
      <c r="AG339" s="55"/>
      <c r="AH339" s="55"/>
      <c r="AJ339" s="55"/>
    </row>
    <row r="340" spans="3:36" x14ac:dyDescent="0.15">
      <c r="C340" s="55"/>
      <c r="D340" s="55"/>
      <c r="E340" s="249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AF340" s="55"/>
      <c r="AG340" s="55"/>
      <c r="AH340" s="55"/>
      <c r="AJ340" s="55"/>
    </row>
    <row r="341" spans="3:36" x14ac:dyDescent="0.15">
      <c r="C341" s="55"/>
      <c r="D341" s="55"/>
      <c r="E341" s="249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AF341" s="55"/>
      <c r="AG341" s="55"/>
      <c r="AH341" s="55"/>
      <c r="AJ341" s="55"/>
    </row>
    <row r="342" spans="3:36" x14ac:dyDescent="0.15">
      <c r="C342" s="55"/>
      <c r="D342" s="55"/>
      <c r="E342" s="249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AF342" s="55"/>
      <c r="AG342" s="55"/>
      <c r="AH342" s="55"/>
      <c r="AJ342" s="55"/>
    </row>
    <row r="343" spans="3:36" x14ac:dyDescent="0.15">
      <c r="C343" s="55"/>
      <c r="D343" s="55"/>
      <c r="E343" s="249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AF343" s="55"/>
      <c r="AG343" s="55"/>
      <c r="AH343" s="55"/>
      <c r="AJ343" s="55"/>
    </row>
    <row r="344" spans="3:36" x14ac:dyDescent="0.15">
      <c r="C344" s="55"/>
      <c r="D344" s="55"/>
      <c r="E344" s="249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AF344" s="55"/>
      <c r="AG344" s="55"/>
      <c r="AH344" s="55"/>
      <c r="AJ344" s="55"/>
    </row>
    <row r="345" spans="3:36" x14ac:dyDescent="0.15">
      <c r="C345" s="55"/>
      <c r="D345" s="55"/>
      <c r="E345" s="249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AF345" s="55"/>
      <c r="AG345" s="55"/>
      <c r="AH345" s="55"/>
      <c r="AJ345" s="55"/>
    </row>
    <row r="346" spans="3:36" x14ac:dyDescent="0.15">
      <c r="C346" s="55"/>
      <c r="D346" s="55"/>
      <c r="E346" s="249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AF346" s="55"/>
      <c r="AG346" s="55"/>
      <c r="AH346" s="55"/>
      <c r="AJ346" s="55"/>
    </row>
    <row r="347" spans="3:36" x14ac:dyDescent="0.15">
      <c r="C347" s="55"/>
      <c r="D347" s="55"/>
      <c r="E347" s="249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AF347" s="55"/>
      <c r="AG347" s="55"/>
      <c r="AH347" s="55"/>
      <c r="AJ347" s="55"/>
    </row>
    <row r="348" spans="3:36" x14ac:dyDescent="0.15">
      <c r="C348" s="55"/>
      <c r="D348" s="55"/>
      <c r="E348" s="249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AF348" s="55"/>
      <c r="AG348" s="55"/>
      <c r="AH348" s="55"/>
      <c r="AJ348" s="55"/>
    </row>
    <row r="349" spans="3:36" x14ac:dyDescent="0.15">
      <c r="C349" s="55"/>
      <c r="D349" s="55"/>
      <c r="E349" s="249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AF349" s="55"/>
      <c r="AG349" s="55"/>
      <c r="AH349" s="55"/>
      <c r="AJ349" s="55"/>
    </row>
    <row r="350" spans="3:36" x14ac:dyDescent="0.15">
      <c r="C350" s="55"/>
      <c r="D350" s="55"/>
      <c r="E350" s="249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AF350" s="55"/>
      <c r="AG350" s="55"/>
      <c r="AH350" s="55"/>
      <c r="AJ350" s="55"/>
    </row>
    <row r="351" spans="3:36" x14ac:dyDescent="0.15">
      <c r="C351" s="55"/>
      <c r="D351" s="55"/>
      <c r="E351" s="249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AF351" s="55"/>
      <c r="AG351" s="55"/>
      <c r="AH351" s="55"/>
      <c r="AJ351" s="55"/>
    </row>
    <row r="352" spans="3:36" x14ac:dyDescent="0.15">
      <c r="C352" s="55"/>
      <c r="D352" s="55"/>
      <c r="E352" s="249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AF352" s="55"/>
      <c r="AG352" s="55"/>
      <c r="AH352" s="55"/>
      <c r="AJ352" s="55"/>
    </row>
    <row r="353" spans="3:36" x14ac:dyDescent="0.15">
      <c r="C353" s="55"/>
      <c r="D353" s="55"/>
      <c r="E353" s="249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AF353" s="55"/>
      <c r="AG353" s="55"/>
      <c r="AH353" s="55"/>
      <c r="AJ353" s="55"/>
    </row>
    <row r="354" spans="3:36" x14ac:dyDescent="0.15">
      <c r="C354" s="55"/>
      <c r="D354" s="55"/>
      <c r="E354" s="249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AF354" s="55"/>
      <c r="AG354" s="55"/>
      <c r="AH354" s="55"/>
      <c r="AJ354" s="55"/>
    </row>
    <row r="355" spans="3:36" x14ac:dyDescent="0.15">
      <c r="C355" s="55"/>
      <c r="D355" s="55"/>
      <c r="E355" s="249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AF355" s="55"/>
      <c r="AG355" s="55"/>
      <c r="AH355" s="55"/>
      <c r="AJ355" s="55"/>
    </row>
    <row r="356" spans="3:36" x14ac:dyDescent="0.15">
      <c r="C356" s="55"/>
      <c r="D356" s="55"/>
      <c r="E356" s="249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AF356" s="55"/>
      <c r="AG356" s="55"/>
      <c r="AH356" s="55"/>
      <c r="AJ356" s="55"/>
    </row>
    <row r="357" spans="3:36" x14ac:dyDescent="0.15">
      <c r="C357" s="55"/>
      <c r="D357" s="55"/>
      <c r="E357" s="249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AF357" s="55"/>
      <c r="AG357" s="55"/>
      <c r="AH357" s="55"/>
      <c r="AJ357" s="55"/>
    </row>
    <row r="358" spans="3:36" x14ac:dyDescent="0.15">
      <c r="C358" s="55"/>
      <c r="D358" s="55"/>
      <c r="E358" s="249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AF358" s="55"/>
      <c r="AG358" s="55"/>
      <c r="AH358" s="55"/>
      <c r="AJ358" s="55"/>
    </row>
    <row r="359" spans="3:36" x14ac:dyDescent="0.15">
      <c r="C359" s="55"/>
      <c r="D359" s="55"/>
      <c r="E359" s="249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AF359" s="55"/>
      <c r="AG359" s="55"/>
      <c r="AH359" s="55"/>
      <c r="AJ359" s="55"/>
    </row>
    <row r="360" spans="3:36" x14ac:dyDescent="0.15">
      <c r="C360" s="55"/>
      <c r="D360" s="55"/>
      <c r="E360" s="249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AF360" s="55"/>
      <c r="AG360" s="55"/>
      <c r="AH360" s="55"/>
      <c r="AJ360" s="55"/>
    </row>
    <row r="361" spans="3:36" x14ac:dyDescent="0.15">
      <c r="C361" s="55"/>
      <c r="D361" s="55"/>
      <c r="E361" s="249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AF361" s="55"/>
      <c r="AG361" s="55"/>
      <c r="AH361" s="55"/>
      <c r="AJ361" s="55"/>
    </row>
    <row r="362" spans="3:36" x14ac:dyDescent="0.15">
      <c r="C362" s="55"/>
      <c r="D362" s="55"/>
      <c r="E362" s="249"/>
      <c r="F362" s="55"/>
      <c r="G362" s="55"/>
      <c r="H362" s="55"/>
      <c r="I362" s="55"/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AF362" s="55"/>
      <c r="AG362" s="55"/>
      <c r="AH362" s="55"/>
      <c r="AJ362" s="55"/>
    </row>
    <row r="363" spans="3:36" x14ac:dyDescent="0.15">
      <c r="C363" s="55"/>
      <c r="D363" s="55"/>
      <c r="E363" s="249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AF363" s="55"/>
      <c r="AG363" s="55"/>
      <c r="AH363" s="55"/>
      <c r="AJ363" s="55"/>
    </row>
    <row r="364" spans="3:36" x14ac:dyDescent="0.15">
      <c r="C364" s="55"/>
      <c r="D364" s="55"/>
      <c r="E364" s="249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AF364" s="55"/>
      <c r="AG364" s="55"/>
      <c r="AH364" s="55"/>
      <c r="AJ364" s="55"/>
    </row>
    <row r="365" spans="3:36" x14ac:dyDescent="0.15">
      <c r="C365" s="55"/>
      <c r="D365" s="55"/>
      <c r="E365" s="249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AF365" s="55"/>
      <c r="AG365" s="55"/>
      <c r="AH365" s="55"/>
      <c r="AJ365" s="55"/>
    </row>
    <row r="366" spans="3:36" x14ac:dyDescent="0.15">
      <c r="C366" s="55"/>
      <c r="D366" s="55"/>
      <c r="E366" s="249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AF366" s="55"/>
      <c r="AG366" s="55"/>
      <c r="AH366" s="55"/>
      <c r="AJ366" s="55"/>
    </row>
    <row r="367" spans="3:36" x14ac:dyDescent="0.15">
      <c r="C367" s="55"/>
      <c r="D367" s="55"/>
      <c r="E367" s="249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AF367" s="55"/>
      <c r="AG367" s="55"/>
      <c r="AH367" s="55"/>
      <c r="AJ367" s="55"/>
    </row>
    <row r="368" spans="3:36" x14ac:dyDescent="0.15">
      <c r="C368" s="55"/>
      <c r="D368" s="55"/>
      <c r="E368" s="249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AF368" s="55"/>
      <c r="AG368" s="55"/>
      <c r="AH368" s="55"/>
      <c r="AJ368" s="55"/>
    </row>
    <row r="369" spans="3:36" x14ac:dyDescent="0.15">
      <c r="C369" s="55"/>
      <c r="D369" s="55"/>
      <c r="E369" s="249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AF369" s="55"/>
      <c r="AG369" s="55"/>
      <c r="AH369" s="55"/>
      <c r="AJ369" s="55"/>
    </row>
    <row r="370" spans="3:36" x14ac:dyDescent="0.15">
      <c r="C370" s="55"/>
      <c r="D370" s="55"/>
      <c r="E370" s="249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AF370" s="55"/>
      <c r="AG370" s="55"/>
      <c r="AH370" s="55"/>
      <c r="AJ370" s="55"/>
    </row>
    <row r="371" spans="3:36" x14ac:dyDescent="0.15">
      <c r="C371" s="55"/>
      <c r="D371" s="55"/>
      <c r="E371" s="249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AF371" s="55"/>
      <c r="AG371" s="55"/>
      <c r="AH371" s="55"/>
      <c r="AJ371" s="55"/>
    </row>
    <row r="372" spans="3:36" x14ac:dyDescent="0.15">
      <c r="C372" s="55"/>
      <c r="D372" s="55"/>
      <c r="E372" s="249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AF372" s="55"/>
      <c r="AG372" s="55"/>
      <c r="AH372" s="55"/>
      <c r="AJ372" s="55"/>
    </row>
    <row r="373" spans="3:36" x14ac:dyDescent="0.15">
      <c r="C373" s="55"/>
      <c r="D373" s="55"/>
      <c r="E373" s="249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AF373" s="55"/>
      <c r="AG373" s="55"/>
      <c r="AH373" s="55"/>
      <c r="AJ373" s="55"/>
    </row>
    <row r="374" spans="3:36" x14ac:dyDescent="0.15">
      <c r="C374" s="55"/>
      <c r="D374" s="55"/>
      <c r="E374" s="249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AF374" s="55"/>
      <c r="AG374" s="55"/>
      <c r="AH374" s="55"/>
      <c r="AJ374" s="55"/>
    </row>
    <row r="375" spans="3:36" x14ac:dyDescent="0.15">
      <c r="C375" s="55"/>
      <c r="D375" s="55"/>
      <c r="E375" s="249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AF375" s="55"/>
      <c r="AG375" s="55"/>
      <c r="AH375" s="55"/>
      <c r="AJ375" s="55"/>
    </row>
    <row r="376" spans="3:36" x14ac:dyDescent="0.15">
      <c r="C376" s="55"/>
      <c r="D376" s="55"/>
      <c r="E376" s="249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AF376" s="55"/>
      <c r="AG376" s="55"/>
      <c r="AH376" s="55"/>
      <c r="AJ376" s="55"/>
    </row>
    <row r="377" spans="3:36" x14ac:dyDescent="0.15">
      <c r="C377" s="55"/>
      <c r="D377" s="55"/>
      <c r="E377" s="249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AF377" s="55"/>
      <c r="AG377" s="55"/>
      <c r="AH377" s="55"/>
      <c r="AJ377" s="55"/>
    </row>
    <row r="378" spans="3:36" x14ac:dyDescent="0.15">
      <c r="C378" s="55"/>
      <c r="D378" s="55"/>
      <c r="E378" s="249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AF378" s="55"/>
      <c r="AG378" s="55"/>
      <c r="AH378" s="55"/>
      <c r="AJ378" s="55"/>
    </row>
    <row r="379" spans="3:36" x14ac:dyDescent="0.15">
      <c r="C379" s="55"/>
      <c r="D379" s="55"/>
      <c r="E379" s="249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AF379" s="55"/>
      <c r="AG379" s="55"/>
      <c r="AH379" s="55"/>
      <c r="AJ379" s="55"/>
    </row>
    <row r="380" spans="3:36" x14ac:dyDescent="0.15">
      <c r="C380" s="55"/>
      <c r="D380" s="55"/>
      <c r="E380" s="249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AF380" s="55"/>
      <c r="AG380" s="55"/>
      <c r="AH380" s="55"/>
      <c r="AJ380" s="55"/>
    </row>
    <row r="381" spans="3:36" x14ac:dyDescent="0.15">
      <c r="C381" s="55"/>
      <c r="D381" s="55"/>
      <c r="E381" s="249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AF381" s="55"/>
      <c r="AG381" s="55"/>
      <c r="AH381" s="55"/>
      <c r="AJ381" s="55"/>
    </row>
    <row r="382" spans="3:36" x14ac:dyDescent="0.15">
      <c r="C382" s="55"/>
      <c r="D382" s="55"/>
      <c r="E382" s="249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AF382" s="55"/>
      <c r="AG382" s="55"/>
      <c r="AH382" s="55"/>
      <c r="AJ382" s="55"/>
    </row>
    <row r="383" spans="3:36" x14ac:dyDescent="0.15">
      <c r="C383" s="55"/>
      <c r="D383" s="55"/>
      <c r="E383" s="249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AF383" s="55"/>
      <c r="AG383" s="55"/>
      <c r="AH383" s="55"/>
      <c r="AJ383" s="55"/>
    </row>
    <row r="384" spans="3:36" x14ac:dyDescent="0.15">
      <c r="C384" s="55"/>
      <c r="D384" s="55"/>
      <c r="E384" s="249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AF384" s="55"/>
      <c r="AG384" s="55"/>
      <c r="AH384" s="55"/>
      <c r="AJ384" s="55"/>
    </row>
    <row r="385" spans="3:36" x14ac:dyDescent="0.15">
      <c r="C385" s="55"/>
      <c r="D385" s="55"/>
      <c r="E385" s="249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AF385" s="55"/>
      <c r="AG385" s="55"/>
      <c r="AH385" s="55"/>
      <c r="AJ385" s="55"/>
    </row>
    <row r="386" spans="3:36" x14ac:dyDescent="0.15">
      <c r="C386" s="55"/>
      <c r="D386" s="55"/>
      <c r="E386" s="249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AF386" s="55"/>
      <c r="AG386" s="55"/>
      <c r="AH386" s="55"/>
      <c r="AJ386" s="55"/>
    </row>
    <row r="387" spans="3:36" x14ac:dyDescent="0.15">
      <c r="C387" s="55"/>
      <c r="D387" s="55"/>
      <c r="E387" s="249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AF387" s="55"/>
      <c r="AG387" s="55"/>
      <c r="AH387" s="55"/>
      <c r="AJ387" s="55"/>
    </row>
    <row r="388" spans="3:36" x14ac:dyDescent="0.15">
      <c r="C388" s="55"/>
      <c r="D388" s="55"/>
      <c r="E388" s="249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AF388" s="55"/>
      <c r="AG388" s="55"/>
      <c r="AH388" s="55"/>
      <c r="AJ388" s="55"/>
    </row>
    <row r="389" spans="3:36" x14ac:dyDescent="0.15">
      <c r="C389" s="55"/>
      <c r="D389" s="55"/>
      <c r="E389" s="249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AF389" s="55"/>
      <c r="AG389" s="55"/>
      <c r="AH389" s="55"/>
      <c r="AJ389" s="55"/>
    </row>
    <row r="390" spans="3:36" x14ac:dyDescent="0.15">
      <c r="C390" s="55"/>
      <c r="D390" s="55"/>
      <c r="E390" s="249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AF390" s="55"/>
      <c r="AG390" s="55"/>
      <c r="AH390" s="55"/>
      <c r="AJ390" s="55"/>
    </row>
    <row r="391" spans="3:36" x14ac:dyDescent="0.15">
      <c r="C391" s="55"/>
      <c r="D391" s="55"/>
      <c r="E391" s="249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AF391" s="55"/>
      <c r="AG391" s="55"/>
      <c r="AH391" s="55"/>
      <c r="AJ391" s="55"/>
    </row>
    <row r="392" spans="3:36" x14ac:dyDescent="0.15">
      <c r="C392" s="55"/>
      <c r="D392" s="55"/>
      <c r="E392" s="249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AF392" s="55"/>
      <c r="AG392" s="55"/>
      <c r="AH392" s="55"/>
      <c r="AJ392" s="55"/>
    </row>
    <row r="393" spans="3:36" x14ac:dyDescent="0.15">
      <c r="C393" s="55"/>
      <c r="D393" s="55"/>
      <c r="E393" s="249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AF393" s="55"/>
      <c r="AG393" s="55"/>
      <c r="AH393" s="55"/>
      <c r="AJ393" s="55"/>
    </row>
    <row r="394" spans="3:36" x14ac:dyDescent="0.15">
      <c r="C394" s="55"/>
      <c r="D394" s="55"/>
      <c r="E394" s="249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AF394" s="55"/>
      <c r="AG394" s="55"/>
      <c r="AH394" s="55"/>
      <c r="AJ394" s="55"/>
    </row>
    <row r="395" spans="3:36" x14ac:dyDescent="0.15">
      <c r="C395" s="55"/>
      <c r="D395" s="55"/>
      <c r="E395" s="249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AF395" s="55"/>
      <c r="AG395" s="55"/>
      <c r="AH395" s="55"/>
      <c r="AJ395" s="55"/>
    </row>
    <row r="396" spans="3:36" x14ac:dyDescent="0.15">
      <c r="C396" s="55"/>
      <c r="D396" s="55"/>
      <c r="E396" s="249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55"/>
      <c r="U396" s="55"/>
      <c r="AF396" s="55"/>
      <c r="AG396" s="55"/>
      <c r="AH396" s="55"/>
      <c r="AJ396" s="55"/>
    </row>
    <row r="397" spans="3:36" x14ac:dyDescent="0.15">
      <c r="C397" s="55"/>
      <c r="D397" s="55"/>
      <c r="E397" s="249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AF397" s="55"/>
      <c r="AG397" s="55"/>
      <c r="AH397" s="55"/>
      <c r="AJ397" s="55"/>
    </row>
    <row r="398" spans="3:36" x14ac:dyDescent="0.15">
      <c r="C398" s="55"/>
      <c r="D398" s="55"/>
      <c r="E398" s="249"/>
      <c r="F398" s="55"/>
      <c r="G398" s="55"/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AF398" s="55"/>
      <c r="AG398" s="55"/>
      <c r="AH398" s="55"/>
      <c r="AJ398" s="55"/>
    </row>
    <row r="399" spans="3:36" x14ac:dyDescent="0.15">
      <c r="C399" s="55"/>
      <c r="D399" s="55"/>
      <c r="E399" s="249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55"/>
      <c r="U399" s="55"/>
      <c r="AF399" s="55"/>
      <c r="AG399" s="55"/>
      <c r="AH399" s="55"/>
      <c r="AJ399" s="55"/>
    </row>
    <row r="400" spans="3:36" x14ac:dyDescent="0.15">
      <c r="C400" s="55"/>
      <c r="D400" s="55"/>
      <c r="E400" s="249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AF400" s="55"/>
      <c r="AG400" s="55"/>
      <c r="AH400" s="55"/>
      <c r="AJ400" s="55"/>
    </row>
    <row r="401" spans="3:36" x14ac:dyDescent="0.15">
      <c r="C401" s="55"/>
      <c r="D401" s="55"/>
      <c r="E401" s="249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AF401" s="55"/>
      <c r="AG401" s="55"/>
      <c r="AH401" s="55"/>
      <c r="AJ401" s="55"/>
    </row>
    <row r="402" spans="3:36" x14ac:dyDescent="0.15">
      <c r="C402" s="55"/>
      <c r="D402" s="55"/>
      <c r="E402" s="249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AF402" s="55"/>
      <c r="AG402" s="55"/>
      <c r="AH402" s="55"/>
      <c r="AJ402" s="55"/>
    </row>
    <row r="403" spans="3:36" x14ac:dyDescent="0.15">
      <c r="C403" s="55"/>
      <c r="D403" s="55"/>
      <c r="E403" s="249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AF403" s="55"/>
      <c r="AG403" s="55"/>
      <c r="AH403" s="55"/>
      <c r="AJ403" s="55"/>
    </row>
    <row r="404" spans="3:36" x14ac:dyDescent="0.15">
      <c r="C404" s="55"/>
      <c r="D404" s="55"/>
      <c r="E404" s="249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AF404" s="55"/>
      <c r="AG404" s="55"/>
      <c r="AH404" s="55"/>
      <c r="AJ404" s="55"/>
    </row>
    <row r="405" spans="3:36" x14ac:dyDescent="0.15">
      <c r="C405" s="55"/>
      <c r="D405" s="55"/>
      <c r="E405" s="249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AF405" s="55"/>
      <c r="AG405" s="55"/>
      <c r="AH405" s="55"/>
      <c r="AJ405" s="55"/>
    </row>
    <row r="406" spans="3:36" x14ac:dyDescent="0.15">
      <c r="C406" s="55"/>
      <c r="D406" s="55"/>
      <c r="E406" s="249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AF406" s="55"/>
      <c r="AG406" s="55"/>
      <c r="AH406" s="55"/>
      <c r="AJ406" s="55"/>
    </row>
    <row r="407" spans="3:36" x14ac:dyDescent="0.15">
      <c r="C407" s="55"/>
      <c r="D407" s="55"/>
      <c r="E407" s="249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AF407" s="55"/>
      <c r="AG407" s="55"/>
      <c r="AH407" s="55"/>
      <c r="AJ407" s="55"/>
    </row>
    <row r="408" spans="3:36" x14ac:dyDescent="0.15">
      <c r="C408" s="55"/>
      <c r="D408" s="55"/>
      <c r="E408" s="249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AF408" s="55"/>
      <c r="AG408" s="55"/>
      <c r="AH408" s="55"/>
      <c r="AJ408" s="55"/>
    </row>
    <row r="409" spans="3:36" x14ac:dyDescent="0.15">
      <c r="C409" s="55"/>
      <c r="D409" s="55"/>
      <c r="E409" s="249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AF409" s="55"/>
      <c r="AG409" s="55"/>
      <c r="AH409" s="55"/>
      <c r="AJ409" s="55"/>
    </row>
    <row r="410" spans="3:36" x14ac:dyDescent="0.15">
      <c r="C410" s="55"/>
      <c r="D410" s="55"/>
      <c r="E410" s="249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AF410" s="55"/>
      <c r="AG410" s="55"/>
      <c r="AH410" s="55"/>
      <c r="AJ410" s="55"/>
    </row>
    <row r="411" spans="3:36" x14ac:dyDescent="0.15">
      <c r="C411" s="55"/>
      <c r="D411" s="55"/>
      <c r="E411" s="249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AF411" s="55"/>
      <c r="AG411" s="55"/>
      <c r="AH411" s="55"/>
      <c r="AJ411" s="55"/>
    </row>
    <row r="412" spans="3:36" x14ac:dyDescent="0.15">
      <c r="C412" s="55"/>
      <c r="D412" s="55"/>
      <c r="E412" s="249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AF412" s="55"/>
      <c r="AG412" s="55"/>
      <c r="AH412" s="55"/>
      <c r="AJ412" s="55"/>
    </row>
    <row r="413" spans="3:36" x14ac:dyDescent="0.15">
      <c r="C413" s="55"/>
      <c r="D413" s="55"/>
      <c r="E413" s="249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AF413" s="55"/>
      <c r="AG413" s="55"/>
      <c r="AH413" s="55"/>
      <c r="AJ413" s="55"/>
    </row>
    <row r="414" spans="3:36" x14ac:dyDescent="0.15">
      <c r="C414" s="55"/>
      <c r="D414" s="55"/>
      <c r="E414" s="249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AF414" s="55"/>
      <c r="AG414" s="55"/>
      <c r="AH414" s="55"/>
      <c r="AJ414" s="55"/>
    </row>
    <row r="415" spans="3:36" x14ac:dyDescent="0.15">
      <c r="C415" s="55"/>
      <c r="D415" s="55"/>
      <c r="E415" s="249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AF415" s="55"/>
      <c r="AG415" s="55"/>
      <c r="AH415" s="55"/>
      <c r="AJ415" s="55"/>
    </row>
    <row r="416" spans="3:36" x14ac:dyDescent="0.15">
      <c r="C416" s="55"/>
      <c r="D416" s="55"/>
      <c r="E416" s="249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AF416" s="55"/>
      <c r="AG416" s="55"/>
      <c r="AH416" s="55"/>
      <c r="AJ416" s="55"/>
    </row>
    <row r="417" spans="3:36" x14ac:dyDescent="0.15">
      <c r="C417" s="55"/>
      <c r="D417" s="55"/>
      <c r="E417" s="249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AF417" s="55"/>
      <c r="AG417" s="55"/>
      <c r="AH417" s="55"/>
      <c r="AJ417" s="55"/>
    </row>
    <row r="418" spans="3:36" x14ac:dyDescent="0.15">
      <c r="C418" s="55"/>
      <c r="D418" s="55"/>
      <c r="E418" s="249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AF418" s="55"/>
      <c r="AG418" s="55"/>
      <c r="AH418" s="55"/>
      <c r="AJ418" s="55"/>
    </row>
    <row r="419" spans="3:36" x14ac:dyDescent="0.15">
      <c r="C419" s="55"/>
      <c r="D419" s="55"/>
      <c r="E419" s="249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AF419" s="55"/>
      <c r="AG419" s="55"/>
      <c r="AH419" s="55"/>
      <c r="AJ419" s="55"/>
    </row>
    <row r="420" spans="3:36" x14ac:dyDescent="0.15">
      <c r="C420" s="55"/>
      <c r="D420" s="55"/>
      <c r="E420" s="249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AF420" s="55"/>
      <c r="AG420" s="55"/>
      <c r="AH420" s="55"/>
      <c r="AJ420" s="55"/>
    </row>
    <row r="421" spans="3:36" x14ac:dyDescent="0.15">
      <c r="C421" s="55"/>
      <c r="D421" s="55"/>
      <c r="E421" s="249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AF421" s="55"/>
      <c r="AG421" s="55"/>
      <c r="AH421" s="55"/>
      <c r="AJ421" s="55"/>
    </row>
    <row r="422" spans="3:36" x14ac:dyDescent="0.15">
      <c r="C422" s="55"/>
      <c r="D422" s="55"/>
      <c r="E422" s="249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AF422" s="55"/>
      <c r="AG422" s="55"/>
      <c r="AH422" s="55"/>
      <c r="AJ422" s="55"/>
    </row>
    <row r="423" spans="3:36" x14ac:dyDescent="0.15">
      <c r="C423" s="55"/>
      <c r="D423" s="55"/>
      <c r="E423" s="249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AF423" s="55"/>
      <c r="AG423" s="55"/>
      <c r="AH423" s="55"/>
      <c r="AJ423" s="55"/>
    </row>
    <row r="424" spans="3:36" x14ac:dyDescent="0.15">
      <c r="C424" s="55"/>
      <c r="D424" s="55"/>
      <c r="E424" s="249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AF424" s="55"/>
      <c r="AG424" s="55"/>
      <c r="AH424" s="55"/>
      <c r="AJ424" s="55"/>
    </row>
    <row r="425" spans="3:36" x14ac:dyDescent="0.15">
      <c r="C425" s="55"/>
      <c r="D425" s="55"/>
      <c r="E425" s="249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AF425" s="55"/>
      <c r="AG425" s="55"/>
      <c r="AH425" s="55"/>
      <c r="AJ425" s="55"/>
    </row>
  </sheetData>
  <mergeCells count="34">
    <mergeCell ref="B64:H64"/>
    <mergeCell ref="D65:H65"/>
    <mergeCell ref="B67:B71"/>
    <mergeCell ref="B56:B61"/>
    <mergeCell ref="E56:I56"/>
    <mergeCell ref="E57:I57"/>
    <mergeCell ref="E58:I58"/>
    <mergeCell ref="E59:I59"/>
    <mergeCell ref="E60:I60"/>
    <mergeCell ref="E47:I47"/>
    <mergeCell ref="E61:I61"/>
    <mergeCell ref="B49:B54"/>
    <mergeCell ref="E49:I49"/>
    <mergeCell ref="E50:I50"/>
    <mergeCell ref="E51:I51"/>
    <mergeCell ref="E52:I52"/>
    <mergeCell ref="E53:I53"/>
    <mergeCell ref="E54:I54"/>
    <mergeCell ref="E42:I42"/>
    <mergeCell ref="E43:I43"/>
    <mergeCell ref="E44:I44"/>
    <mergeCell ref="E45:I45"/>
    <mergeCell ref="E46:I46"/>
    <mergeCell ref="B13:B17"/>
    <mergeCell ref="B18:B20"/>
    <mergeCell ref="B21:B28"/>
    <mergeCell ref="B32:B38"/>
    <mergeCell ref="B42:B47"/>
    <mergeCell ref="B29:B31"/>
    <mergeCell ref="B5:M5"/>
    <mergeCell ref="C6:E6"/>
    <mergeCell ref="F6:M6"/>
    <mergeCell ref="O6:AG6"/>
    <mergeCell ref="B8:B12"/>
  </mergeCells>
  <conditionalFormatting sqref="T8:AC8 E8 E11:E28 T11:AC28">
    <cfRule type="colorScale" priority="101">
      <colorScale>
        <cfvo type="num" val="1"/>
        <cfvo type="num" val="3"/>
        <cfvo type="num" val="9"/>
        <color rgb="FF00B050"/>
        <color rgb="FFFFFF00"/>
        <color rgb="FFFF0000"/>
      </colorScale>
    </cfRule>
  </conditionalFormatting>
  <conditionalFormatting sqref="E9:E10 T9:AC10">
    <cfRule type="colorScale" priority="100">
      <colorScale>
        <cfvo type="num" val="1"/>
        <cfvo type="num" val="3"/>
        <cfvo type="num" val="9"/>
        <color rgb="FF00B050"/>
        <color rgb="FFFFFF00"/>
        <color rgb="FFFF0000"/>
      </colorScale>
    </cfRule>
  </conditionalFormatting>
  <conditionalFormatting sqref="N9:N10">
    <cfRule type="cellIs" dxfId="182" priority="97" operator="between">
      <formula>31</formula>
      <formula>200</formula>
    </cfRule>
    <cfRule type="cellIs" dxfId="181" priority="98" operator="between">
      <formula>15</formula>
      <formula>30</formula>
    </cfRule>
    <cfRule type="cellIs" dxfId="180" priority="99" operator="between">
      <formula>1</formula>
      <formula>14</formula>
    </cfRule>
  </conditionalFormatting>
  <conditionalFormatting sqref="M8:M28">
    <cfRule type="containsText" dxfId="179" priority="94" operator="containsText" text="Not Included for Development">
      <formula>NOT(ISERROR(SEARCH("Not Included for Development",M8)))</formula>
    </cfRule>
    <cfRule type="containsText" dxfId="178" priority="95" operator="containsText" text="Characterization Only">
      <formula>NOT(ISERROR(SEARCH("Characterization Only",M8)))</formula>
    </cfRule>
    <cfRule type="containsText" dxfId="177" priority="96" operator="containsText" text="CQA">
      <formula>NOT(ISERROR(SEARCH("CQA",M8)))</formula>
    </cfRule>
  </conditionalFormatting>
  <conditionalFormatting sqref="M8:M28">
    <cfRule type="containsText" dxfId="176" priority="93" operator="containsText" text="Stability">
      <formula>NOT(ISERROR(SEARCH("Stability",M8)))</formula>
    </cfRule>
  </conditionalFormatting>
  <conditionalFormatting sqref="F11:F28 I11:I28">
    <cfRule type="cellIs" dxfId="175" priority="84" operator="equal">
      <formula>1</formula>
    </cfRule>
    <cfRule type="cellIs" dxfId="174" priority="85" operator="equal">
      <formula>3</formula>
    </cfRule>
    <cfRule type="cellIs" dxfId="173" priority="86" operator="equal">
      <formula>9</formula>
    </cfRule>
    <cfRule type="cellIs" dxfId="172" priority="87" operator="equal">
      <formula>15</formula>
    </cfRule>
    <cfRule type="cellIs" dxfId="171" priority="88" operator="equal">
      <formula>21</formula>
    </cfRule>
  </conditionalFormatting>
  <conditionalFormatting sqref="F8:G28 I8:J28">
    <cfRule type="cellIs" dxfId="170" priority="82" operator="equal">
      <formula>7</formula>
    </cfRule>
  </conditionalFormatting>
  <conditionalFormatting sqref="F9:F10">
    <cfRule type="cellIs" dxfId="169" priority="71" operator="equal">
      <formula>1</formula>
    </cfRule>
    <cfRule type="cellIs" dxfId="168" priority="72" operator="equal">
      <formula>3</formula>
    </cfRule>
    <cfRule type="cellIs" dxfId="167" priority="73" operator="equal">
      <formula>9</formula>
    </cfRule>
    <cfRule type="cellIs" dxfId="166" priority="74" operator="equal">
      <formula>15</formula>
    </cfRule>
    <cfRule type="cellIs" dxfId="165" priority="75" operator="equal">
      <formula>21</formula>
    </cfRule>
  </conditionalFormatting>
  <conditionalFormatting sqref="G9:G10">
    <cfRule type="cellIs" dxfId="164" priority="66" operator="equal">
      <formula>1</formula>
    </cfRule>
    <cfRule type="cellIs" dxfId="163" priority="67" operator="equal">
      <formula>2</formula>
    </cfRule>
    <cfRule type="cellIs" dxfId="162" priority="68" operator="equal">
      <formula>3</formula>
    </cfRule>
    <cfRule type="cellIs" dxfId="161" priority="69" operator="equal">
      <formula>5</formula>
    </cfRule>
    <cfRule type="cellIs" dxfId="160" priority="70" operator="equal">
      <formula>7</formula>
    </cfRule>
  </conditionalFormatting>
  <conditionalFormatting sqref="L9:L10 H9:H10">
    <cfRule type="cellIs" dxfId="159" priority="63" operator="between">
      <formula>31</formula>
      <formula>200</formula>
    </cfRule>
    <cfRule type="cellIs" dxfId="158" priority="64" operator="between">
      <formula>15</formula>
      <formula>30</formula>
    </cfRule>
    <cfRule type="cellIs" dxfId="157" priority="65" operator="between">
      <formula>1</formula>
      <formula>14</formula>
    </cfRule>
  </conditionalFormatting>
  <conditionalFormatting sqref="F8:G28 I8:J28">
    <cfRule type="cellIs" dxfId="156" priority="79" operator="equal">
      <formula>1</formula>
    </cfRule>
    <cfRule type="cellIs" dxfId="155" priority="80" operator="equal">
      <formula>3</formula>
    </cfRule>
    <cfRule type="cellIs" dxfId="154" priority="81" operator="equal">
      <formula>5</formula>
    </cfRule>
    <cfRule type="cellIs" dxfId="153" priority="83" operator="equal">
      <formula>10</formula>
    </cfRule>
  </conditionalFormatting>
  <conditionalFormatting sqref="H8:H28 K8:L28">
    <cfRule type="cellIs" dxfId="152" priority="76" operator="between">
      <formula>31</formula>
      <formula>100</formula>
    </cfRule>
    <cfRule type="cellIs" dxfId="151" priority="77" operator="between">
      <formula>11</formula>
      <formula>30</formula>
    </cfRule>
    <cfRule type="cellIs" dxfId="150" priority="78" operator="between">
      <formula>1</formula>
      <formula>10</formula>
    </cfRule>
  </conditionalFormatting>
  <conditionalFormatting sqref="K9:K10">
    <cfRule type="cellIs" dxfId="149" priority="57" operator="between">
      <formula>31</formula>
      <formula>200</formula>
    </cfRule>
    <cfRule type="cellIs" dxfId="148" priority="58" operator="between">
      <formula>15</formula>
      <formula>30</formula>
    </cfRule>
    <cfRule type="cellIs" dxfId="147" priority="59" operator="between">
      <formula>1</formula>
      <formula>14</formula>
    </cfRule>
  </conditionalFormatting>
  <conditionalFormatting sqref="I9:I10">
    <cfRule type="cellIs" dxfId="146" priority="42" operator="equal">
      <formula>1</formula>
    </cfRule>
    <cfRule type="cellIs" dxfId="145" priority="43" operator="equal">
      <formula>3</formula>
    </cfRule>
    <cfRule type="cellIs" dxfId="144" priority="44" operator="equal">
      <formula>9</formula>
    </cfRule>
    <cfRule type="cellIs" dxfId="143" priority="45" operator="equal">
      <formula>15</formula>
    </cfRule>
    <cfRule type="cellIs" dxfId="142" priority="46" operator="equal">
      <formula>21</formula>
    </cfRule>
  </conditionalFormatting>
  <conditionalFormatting sqref="J9:J10">
    <cfRule type="cellIs" dxfId="141" priority="37" operator="equal">
      <formula>1</formula>
    </cfRule>
    <cfRule type="cellIs" dxfId="140" priority="38" operator="equal">
      <formula>2</formula>
    </cfRule>
    <cfRule type="cellIs" dxfId="139" priority="39" operator="equal">
      <formula>3</formula>
    </cfRule>
    <cfRule type="cellIs" dxfId="138" priority="40" operator="equal">
      <formula>5</formula>
    </cfRule>
    <cfRule type="cellIs" dxfId="137" priority="41" operator="equal">
      <formula>7</formula>
    </cfRule>
  </conditionalFormatting>
  <conditionalFormatting sqref="E29:E31 T29:AC31">
    <cfRule type="colorScale" priority="36">
      <colorScale>
        <cfvo type="num" val="1"/>
        <cfvo type="num" val="3"/>
        <cfvo type="num" val="9"/>
        <color rgb="FF00B050"/>
        <color rgb="FFFFFF00"/>
        <color rgb="FFFF0000"/>
      </colorScale>
    </cfRule>
  </conditionalFormatting>
  <conditionalFormatting sqref="M29:M31">
    <cfRule type="containsText" dxfId="136" priority="33" operator="containsText" text="Not Included for Development">
      <formula>NOT(ISERROR(SEARCH("Not Included for Development",M29)))</formula>
    </cfRule>
    <cfRule type="containsText" dxfId="135" priority="34" operator="containsText" text="Characterization Only">
      <formula>NOT(ISERROR(SEARCH("Characterization Only",M29)))</formula>
    </cfRule>
    <cfRule type="containsText" dxfId="134" priority="35" operator="containsText" text="CQA">
      <formula>NOT(ISERROR(SEARCH("CQA",M29)))</formula>
    </cfRule>
  </conditionalFormatting>
  <conditionalFormatting sqref="M29:M31">
    <cfRule type="containsText" dxfId="133" priority="32" operator="containsText" text="Stability">
      <formula>NOT(ISERROR(SEARCH("Stability",M29)))</formula>
    </cfRule>
  </conditionalFormatting>
  <conditionalFormatting sqref="F29:F31 I29:I31">
    <cfRule type="cellIs" dxfId="132" priority="27" operator="equal">
      <formula>1</formula>
    </cfRule>
    <cfRule type="cellIs" dxfId="131" priority="28" operator="equal">
      <formula>3</formula>
    </cfRule>
    <cfRule type="cellIs" dxfId="130" priority="29" operator="equal">
      <formula>9</formula>
    </cfRule>
    <cfRule type="cellIs" dxfId="129" priority="30" operator="equal">
      <formula>15</formula>
    </cfRule>
    <cfRule type="cellIs" dxfId="128" priority="31" operator="equal">
      <formula>21</formula>
    </cfRule>
  </conditionalFormatting>
  <conditionalFormatting sqref="F29:G31 I29:J31">
    <cfRule type="cellIs" dxfId="127" priority="25" operator="equal">
      <formula>7</formula>
    </cfRule>
  </conditionalFormatting>
  <conditionalFormatting sqref="F29:G31 I29:J31">
    <cfRule type="cellIs" dxfId="126" priority="22" operator="equal">
      <formula>1</formula>
    </cfRule>
    <cfRule type="cellIs" dxfId="125" priority="23" operator="equal">
      <formula>3</formula>
    </cfRule>
    <cfRule type="cellIs" dxfId="124" priority="24" operator="equal">
      <formula>5</formula>
    </cfRule>
    <cfRule type="cellIs" dxfId="123" priority="26" operator="equal">
      <formula>10</formula>
    </cfRule>
  </conditionalFormatting>
  <conditionalFormatting sqref="H29:H31 K29:L31">
    <cfRule type="cellIs" dxfId="122" priority="19" operator="between">
      <formula>31</formula>
      <formula>100</formula>
    </cfRule>
    <cfRule type="cellIs" dxfId="121" priority="20" operator="between">
      <formula>11</formula>
      <formula>30</formula>
    </cfRule>
    <cfRule type="cellIs" dxfId="120" priority="21" operator="between">
      <formula>1</formula>
      <formula>10</formula>
    </cfRule>
  </conditionalFormatting>
  <conditionalFormatting sqref="E32:E38 T32:AC38">
    <cfRule type="colorScale" priority="18">
      <colorScale>
        <cfvo type="num" val="1"/>
        <cfvo type="num" val="3"/>
        <cfvo type="num" val="9"/>
        <color rgb="FF00B050"/>
        <color rgb="FFFFFF00"/>
        <color rgb="FFFF0000"/>
      </colorScale>
    </cfRule>
  </conditionalFormatting>
  <conditionalFormatting sqref="M32:M38">
    <cfRule type="containsText" dxfId="119" priority="15" operator="containsText" text="Not Included for Development">
      <formula>NOT(ISERROR(SEARCH("Not Included for Development",M32)))</formula>
    </cfRule>
    <cfRule type="containsText" dxfId="118" priority="16" operator="containsText" text="Characterization Only">
      <formula>NOT(ISERROR(SEARCH("Characterization Only",M32)))</formula>
    </cfRule>
    <cfRule type="containsText" dxfId="117" priority="17" operator="containsText" text="CQA">
      <formula>NOT(ISERROR(SEARCH("CQA",M32)))</formula>
    </cfRule>
  </conditionalFormatting>
  <conditionalFormatting sqref="M32:M38">
    <cfRule type="containsText" dxfId="116" priority="14" operator="containsText" text="Stability">
      <formula>NOT(ISERROR(SEARCH("Stability",M32)))</formula>
    </cfRule>
  </conditionalFormatting>
  <conditionalFormatting sqref="F32:F38 I32:I38">
    <cfRule type="cellIs" dxfId="115" priority="9" operator="equal">
      <formula>1</formula>
    </cfRule>
    <cfRule type="cellIs" dxfId="114" priority="10" operator="equal">
      <formula>3</formula>
    </cfRule>
    <cfRule type="cellIs" dxfId="113" priority="11" operator="equal">
      <formula>9</formula>
    </cfRule>
    <cfRule type="cellIs" dxfId="112" priority="12" operator="equal">
      <formula>15</formula>
    </cfRule>
    <cfRule type="cellIs" dxfId="111" priority="13" operator="equal">
      <formula>21</formula>
    </cfRule>
  </conditionalFormatting>
  <conditionalFormatting sqref="F32:G38 I32:J38">
    <cfRule type="cellIs" dxfId="110" priority="7" operator="equal">
      <formula>7</formula>
    </cfRule>
  </conditionalFormatting>
  <conditionalFormatting sqref="F32:G38 I32:J38">
    <cfRule type="cellIs" dxfId="109" priority="4" operator="equal">
      <formula>1</formula>
    </cfRule>
    <cfRule type="cellIs" dxfId="108" priority="5" operator="equal">
      <formula>3</formula>
    </cfRule>
    <cfRule type="cellIs" dxfId="107" priority="6" operator="equal">
      <formula>5</formula>
    </cfRule>
    <cfRule type="cellIs" dxfId="106" priority="8" operator="equal">
      <formula>10</formula>
    </cfRule>
  </conditionalFormatting>
  <conditionalFormatting sqref="H32:H38 K32:L38">
    <cfRule type="cellIs" dxfId="105" priority="1" operator="between">
      <formula>31</formula>
      <formula>100</formula>
    </cfRule>
    <cfRule type="cellIs" dxfId="104" priority="2" operator="between">
      <formula>11</formula>
      <formula>30</formula>
    </cfRule>
    <cfRule type="cellIs" dxfId="103" priority="3" operator="between">
      <formula>1</formula>
      <formula>10</formula>
    </cfRule>
  </conditionalFormatting>
  <dataValidations count="6">
    <dataValidation type="list" allowBlank="1" showInputMessage="1" showErrorMessage="1" sqref="F8:G38 I8:J38" xr:uid="{00000000-0002-0000-0000-000000000000}">
      <formula1>$C$57:$C$61</formula1>
    </dataValidation>
    <dataValidation type="list" allowBlank="1" showInputMessage="1" showErrorMessage="1" sqref="S8:AC38" xr:uid="{00000000-0002-0000-0000-000001000000}">
      <formula1>#REF!</formula1>
    </dataValidation>
    <dataValidation type="list" allowBlank="1" showInputMessage="1" showErrorMessage="1" sqref="E8:E38" xr:uid="{00000000-0002-0000-0000-000002000000}">
      <formula1>$C$74:$C$78</formula1>
    </dataValidation>
    <dataValidation type="list" allowBlank="1" showInputMessage="1" showErrorMessage="1" sqref="AF8:AF38" xr:uid="{00000000-0002-0000-0000-000003000000}">
      <formula1>$C$85:$C$88</formula1>
    </dataValidation>
    <dataValidation type="list" allowBlank="1" showInputMessage="1" showErrorMessage="1" sqref="M8:M38" xr:uid="{00000000-0002-0000-0000-000004000000}">
      <formula1>$C$80:$C$83</formula1>
    </dataValidation>
    <dataValidation type="list" allowBlank="1" showInputMessage="1" showErrorMessage="1" sqref="R8:R38" xr:uid="{00000000-0002-0000-0000-000005000000}">
      <formula1>$C$90:$C$93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N50"/>
  <sheetViews>
    <sheetView zoomScale="120" zoomScaleNormal="120" workbookViewId="0">
      <selection activeCell="A3" sqref="A1:XFD3"/>
    </sheetView>
  </sheetViews>
  <sheetFormatPr baseColWidth="10" defaultColWidth="9.1640625" defaultRowHeight="15" x14ac:dyDescent="0.2"/>
  <cols>
    <col min="1" max="1" width="47.5" style="1" customWidth="1"/>
    <col min="2" max="2" width="12.5" style="1" customWidth="1"/>
    <col min="3" max="3" width="16.5" style="1" customWidth="1"/>
    <col min="4" max="4" width="11.6640625" style="1" customWidth="1"/>
    <col min="5" max="5" width="11.5" style="4" customWidth="1"/>
    <col min="6" max="9" width="9.1640625" style="1"/>
    <col min="10" max="10" width="18.33203125" style="1" bestFit="1" customWidth="1"/>
    <col min="11" max="11" width="15.5" style="1" customWidth="1"/>
    <col min="12" max="12" width="12.6640625" style="1" customWidth="1"/>
    <col min="13" max="13" width="11.5" style="1" customWidth="1"/>
    <col min="14" max="14" width="10.1640625" style="1" customWidth="1"/>
    <col min="15" max="16" width="17.5" style="3" customWidth="1"/>
    <col min="17" max="17" width="15.1640625" style="3" customWidth="1"/>
    <col min="18" max="18" width="21.6640625" style="3" bestFit="1" customWidth="1"/>
    <col min="19" max="19" width="13.6640625" style="3" bestFit="1" customWidth="1"/>
    <col min="20" max="20" width="13.6640625" style="3" customWidth="1"/>
    <col min="21" max="21" width="13.83203125" style="3" bestFit="1" customWidth="1"/>
    <col min="22" max="22" width="10.6640625" style="3" bestFit="1" customWidth="1"/>
    <col min="23" max="40" width="9.1640625" style="3"/>
    <col min="41" max="16384" width="9.1640625" style="1"/>
  </cols>
  <sheetData>
    <row r="1" spans="1:40" s="2" customFormat="1" ht="24.75" customHeight="1" x14ac:dyDescent="0.2">
      <c r="A1" s="3"/>
      <c r="B1" s="445" t="s">
        <v>43</v>
      </c>
      <c r="C1" s="445"/>
      <c r="D1" s="445"/>
      <c r="E1" s="445"/>
      <c r="F1" s="445"/>
      <c r="G1" s="445"/>
      <c r="H1" s="445"/>
      <c r="I1" s="446"/>
      <c r="J1" s="24" t="s">
        <v>0</v>
      </c>
      <c r="K1" s="25"/>
      <c r="L1" s="26"/>
      <c r="M1" s="26"/>
      <c r="N1" s="27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</row>
    <row r="2" spans="1:40" s="2" customFormat="1" ht="29.25" customHeight="1" thickBot="1" x14ac:dyDescent="0.25">
      <c r="A2" s="3"/>
      <c r="B2" s="445"/>
      <c r="C2" s="445"/>
      <c r="D2" s="445"/>
      <c r="E2" s="445"/>
      <c r="F2" s="445"/>
      <c r="G2" s="445"/>
      <c r="H2" s="445"/>
      <c r="I2" s="446"/>
      <c r="J2" s="28" t="s">
        <v>1</v>
      </c>
      <c r="K2" s="8"/>
      <c r="L2" s="9"/>
      <c r="M2" s="9"/>
      <c r="N2" s="29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s="2" customFormat="1" ht="32.5" customHeight="1" thickBot="1" x14ac:dyDescent="0.25">
      <c r="A3" s="3"/>
      <c r="B3" s="447"/>
      <c r="C3" s="447"/>
      <c r="D3" s="447"/>
      <c r="E3" s="447"/>
      <c r="F3" s="447"/>
      <c r="G3" s="447"/>
      <c r="H3" s="447"/>
      <c r="I3" s="448"/>
      <c r="J3" s="30" t="s">
        <v>30</v>
      </c>
      <c r="K3" s="31"/>
      <c r="L3" s="32"/>
      <c r="M3" s="32"/>
      <c r="N3" s="33"/>
      <c r="O3" s="439" t="s">
        <v>28</v>
      </c>
      <c r="P3" s="440"/>
      <c r="Q3" s="440"/>
      <c r="R3" s="441"/>
      <c r="S3" s="433" t="s">
        <v>8</v>
      </c>
      <c r="T3" s="434"/>
      <c r="U3" s="434"/>
      <c r="V3" s="435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</row>
    <row r="4" spans="1:40" s="5" customFormat="1" ht="17" thickBot="1" x14ac:dyDescent="0.25">
      <c r="A4" s="54" t="s">
        <v>29</v>
      </c>
      <c r="B4" s="43"/>
      <c r="C4" s="21"/>
      <c r="D4" s="22"/>
      <c r="E4" s="22"/>
      <c r="F4" s="22"/>
      <c r="G4" s="22"/>
      <c r="H4" s="22"/>
      <c r="I4" s="22"/>
      <c r="J4" s="22"/>
      <c r="K4" s="22"/>
      <c r="L4" s="22"/>
      <c r="M4" s="22"/>
      <c r="N4" s="23"/>
      <c r="O4" s="442"/>
      <c r="P4" s="443"/>
      <c r="Q4" s="443"/>
      <c r="R4" s="444"/>
      <c r="S4" s="436"/>
      <c r="T4" s="437"/>
      <c r="U4" s="437"/>
      <c r="V4" s="438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</row>
    <row r="5" spans="1:40" s="7" customFormat="1" ht="46.5" customHeight="1" x14ac:dyDescent="0.2">
      <c r="A5" s="20" t="s">
        <v>34</v>
      </c>
      <c r="B5" s="50" t="s">
        <v>33</v>
      </c>
      <c r="C5" s="13" t="s">
        <v>23</v>
      </c>
      <c r="D5" s="12" t="s">
        <v>6</v>
      </c>
      <c r="E5" s="13" t="s">
        <v>42</v>
      </c>
      <c r="F5" s="12" t="s">
        <v>2</v>
      </c>
      <c r="G5" s="12" t="s">
        <v>3</v>
      </c>
      <c r="H5" s="12" t="s">
        <v>4</v>
      </c>
      <c r="I5" s="12" t="s">
        <v>5</v>
      </c>
      <c r="J5" s="13" t="s">
        <v>9</v>
      </c>
      <c r="K5" s="13" t="s">
        <v>10</v>
      </c>
      <c r="L5" s="13" t="s">
        <v>7</v>
      </c>
      <c r="M5" s="13" t="s">
        <v>31</v>
      </c>
      <c r="N5" s="13" t="s">
        <v>25</v>
      </c>
      <c r="O5" s="45" t="s">
        <v>17</v>
      </c>
      <c r="P5" s="46" t="s">
        <v>14</v>
      </c>
      <c r="Q5" s="45" t="s">
        <v>27</v>
      </c>
      <c r="R5" s="46" t="s">
        <v>15</v>
      </c>
      <c r="S5" s="16" t="s">
        <v>11</v>
      </c>
      <c r="T5" s="47" t="s">
        <v>24</v>
      </c>
      <c r="U5" s="13" t="s">
        <v>12</v>
      </c>
      <c r="V5" s="17" t="s">
        <v>13</v>
      </c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</row>
    <row r="6" spans="1:40" ht="16" x14ac:dyDescent="0.2">
      <c r="A6" s="41" t="s">
        <v>35</v>
      </c>
      <c r="B6" s="44" t="s">
        <v>16</v>
      </c>
      <c r="C6" s="42" t="s">
        <v>38</v>
      </c>
      <c r="D6" s="35" t="s">
        <v>41</v>
      </c>
      <c r="E6" s="35">
        <v>25</v>
      </c>
      <c r="F6" s="36">
        <v>849</v>
      </c>
      <c r="G6" s="36">
        <v>851</v>
      </c>
      <c r="H6" s="36">
        <v>850.2</v>
      </c>
      <c r="I6" s="36">
        <v>0.3</v>
      </c>
      <c r="J6" s="36">
        <v>0</v>
      </c>
      <c r="K6" s="53">
        <f>IF(J6="","",IF(J6=0,0,(J6/E6)*1000000))</f>
        <v>0</v>
      </c>
      <c r="L6" s="51">
        <v>10000</v>
      </c>
      <c r="M6" s="52">
        <f>IF(AND(L6="",K6="")," ",IF(MAX(K6:L6)=0,"&gt;1.5",-(_xlfn.NORM.S.INV(MAX(K6:L6)/1000000))/3))</f>
        <v>0.77544929134694696</v>
      </c>
      <c r="N6" s="6" t="str">
        <f>IF(L6=""," ",IF(MAX(K6:L6)&gt;100,"High",IF(AND(MAX(K6:L6)&gt;10,MAX(K6:L6)&lt;=100),"Medium","Low")))</f>
        <v>High</v>
      </c>
      <c r="O6" s="36" t="s">
        <v>16</v>
      </c>
      <c r="P6" s="36" t="s">
        <v>19</v>
      </c>
      <c r="Q6" s="37">
        <v>0.95</v>
      </c>
      <c r="R6" s="15">
        <f t="shared" ref="R6:R43" si="0">IF(B6="Yes",IF(O6="No",MAX(K6:L6),MAX(K6:L6)*(1-Q6)),0)</f>
        <v>500.00000000000045</v>
      </c>
      <c r="S6" s="38">
        <v>1.4999999999999999E-2</v>
      </c>
      <c r="T6" s="48">
        <v>0</v>
      </c>
      <c r="U6" s="39">
        <v>0.02</v>
      </c>
      <c r="V6" s="18">
        <f>SQRT(U6^2+S6^2+T6^2)</f>
        <v>2.5000000000000001E-2</v>
      </c>
    </row>
    <row r="7" spans="1:40" ht="16" x14ac:dyDescent="0.2">
      <c r="A7" s="41" t="s">
        <v>36</v>
      </c>
      <c r="B7" s="44" t="s">
        <v>16</v>
      </c>
      <c r="C7" s="36" t="s">
        <v>39</v>
      </c>
      <c r="D7" s="36" t="s">
        <v>40</v>
      </c>
      <c r="E7" s="36">
        <v>40</v>
      </c>
      <c r="F7" s="36">
        <v>0</v>
      </c>
      <c r="G7" s="36">
        <v>15</v>
      </c>
      <c r="H7" s="36">
        <v>2.2000000000000002</v>
      </c>
      <c r="I7" s="36">
        <v>0.75</v>
      </c>
      <c r="J7" s="36">
        <v>0</v>
      </c>
      <c r="K7" s="53">
        <f>IF(J7="","",IF(J7=0,0,(J7/E7)*1000000))</f>
        <v>0</v>
      </c>
      <c r="L7" s="51">
        <v>65</v>
      </c>
      <c r="M7" s="52">
        <f t="shared" ref="M7:M43" si="1">IF(AND(L7="",K7="")," ",IF(MAX(K7:L7)=0,"&gt;1.5",-(_xlfn.NORM.S.INV(MAX(K7:L7)/1000000))/3))</f>
        <v>1.2754862006944021</v>
      </c>
      <c r="N7" s="6" t="str">
        <f t="shared" ref="N7:N43" si="2">IF(L7=""," ",IF(MAX(K7:L7)&gt;100,"High",IF(AND(MAX(K7:L7)&gt;10,MAX(K7:L7)&lt;=100),"Medium","Low")))</f>
        <v>Medium</v>
      </c>
      <c r="O7" s="36" t="s">
        <v>16</v>
      </c>
      <c r="P7" s="36" t="s">
        <v>19</v>
      </c>
      <c r="Q7" s="37">
        <v>0.99</v>
      </c>
      <c r="R7" s="15">
        <f t="shared" si="0"/>
        <v>0.65000000000000058</v>
      </c>
      <c r="S7" s="40"/>
      <c r="T7" s="49"/>
      <c r="U7" s="36"/>
      <c r="V7" s="19">
        <f>SQRT(U7^2+S7^2+T7^2)</f>
        <v>0</v>
      </c>
    </row>
    <row r="8" spans="1:40" ht="16" x14ac:dyDescent="0.2">
      <c r="A8" s="41" t="s">
        <v>37</v>
      </c>
      <c r="B8" s="44" t="s">
        <v>16</v>
      </c>
      <c r="C8" s="36"/>
      <c r="D8" s="36"/>
      <c r="E8" s="36"/>
      <c r="F8" s="36"/>
      <c r="G8" s="36"/>
      <c r="H8" s="36"/>
      <c r="I8" s="36"/>
      <c r="J8" s="36"/>
      <c r="K8" s="53">
        <v>0</v>
      </c>
      <c r="L8" s="51">
        <v>3</v>
      </c>
      <c r="M8" s="52">
        <f t="shared" si="1"/>
        <v>1.5087964404645311</v>
      </c>
      <c r="N8" s="6" t="str">
        <f>IF(AND(L8="",K8="")," ",IF(MAX(K8:L8)&gt;100,"High",IF(AND(MAX(K8:L8)&gt;10,MAX(K8:L8)&lt;=100),"Medium","Low")))</f>
        <v>Low</v>
      </c>
      <c r="O8" s="36" t="s">
        <v>16</v>
      </c>
      <c r="P8" s="36" t="s">
        <v>19</v>
      </c>
      <c r="Q8" s="37">
        <v>0.999</v>
      </c>
      <c r="R8" s="15">
        <f t="shared" si="0"/>
        <v>3.0000000000000027E-3</v>
      </c>
      <c r="S8" s="40"/>
      <c r="T8" s="49"/>
      <c r="U8" s="36"/>
      <c r="V8" s="19">
        <f t="shared" ref="V8:V43" si="3">SQRT(U8^2+S8^2+T8^2)</f>
        <v>0</v>
      </c>
    </row>
    <row r="9" spans="1:40" ht="16" x14ac:dyDescent="0.2">
      <c r="A9" s="41" t="s">
        <v>35</v>
      </c>
      <c r="B9" s="44" t="s">
        <v>16</v>
      </c>
      <c r="C9" s="36" t="s">
        <v>180</v>
      </c>
      <c r="D9" s="35" t="s">
        <v>41</v>
      </c>
      <c r="E9" s="36"/>
      <c r="F9" s="36">
        <v>0</v>
      </c>
      <c r="G9" s="36">
        <v>0.8</v>
      </c>
      <c r="H9" s="36"/>
      <c r="I9" s="36"/>
      <c r="J9" s="36"/>
      <c r="K9" s="53"/>
      <c r="L9" s="51">
        <v>329</v>
      </c>
      <c r="M9" s="52">
        <f t="shared" si="1"/>
        <v>1.1355021440421342</v>
      </c>
      <c r="N9" s="6" t="str">
        <f t="shared" si="2"/>
        <v>High</v>
      </c>
      <c r="O9" s="36" t="s">
        <v>16</v>
      </c>
      <c r="P9" s="36" t="s">
        <v>19</v>
      </c>
      <c r="Q9" s="37">
        <v>0.95</v>
      </c>
      <c r="R9" s="15">
        <f t="shared" si="0"/>
        <v>16.450000000000014</v>
      </c>
      <c r="S9" s="40"/>
      <c r="T9" s="49"/>
      <c r="U9" s="36"/>
      <c r="V9" s="19">
        <f t="shared" si="3"/>
        <v>0</v>
      </c>
    </row>
    <row r="10" spans="1:40" ht="16" x14ac:dyDescent="0.2">
      <c r="A10" s="41" t="s">
        <v>35</v>
      </c>
      <c r="B10" s="44" t="s">
        <v>16</v>
      </c>
      <c r="C10" s="36" t="s">
        <v>181</v>
      </c>
      <c r="D10" s="35" t="s">
        <v>41</v>
      </c>
      <c r="E10" s="36"/>
      <c r="F10" s="36">
        <v>0</v>
      </c>
      <c r="G10" s="36">
        <v>0.6</v>
      </c>
      <c r="H10" s="36"/>
      <c r="I10" s="36"/>
      <c r="J10" s="36"/>
      <c r="K10" s="53"/>
      <c r="L10" s="51">
        <v>4</v>
      </c>
      <c r="M10" s="52">
        <f t="shared" si="1"/>
        <v>1.4883946385282742</v>
      </c>
      <c r="N10" s="6" t="str">
        <f t="shared" si="2"/>
        <v>Low</v>
      </c>
      <c r="O10" s="36" t="s">
        <v>16</v>
      </c>
      <c r="P10" s="36" t="s">
        <v>19</v>
      </c>
      <c r="Q10" s="37">
        <v>0.999</v>
      </c>
      <c r="R10" s="15">
        <f t="shared" si="0"/>
        <v>4.0000000000000036E-3</v>
      </c>
      <c r="S10" s="40"/>
      <c r="T10" s="49"/>
      <c r="U10" s="36"/>
      <c r="V10" s="19">
        <f t="shared" si="3"/>
        <v>0</v>
      </c>
    </row>
    <row r="11" spans="1:40" ht="16" x14ac:dyDescent="0.2">
      <c r="A11" s="41" t="s">
        <v>35</v>
      </c>
      <c r="B11" s="44" t="s">
        <v>16</v>
      </c>
      <c r="C11" s="36" t="s">
        <v>182</v>
      </c>
      <c r="D11" s="35" t="s">
        <v>41</v>
      </c>
      <c r="E11" s="36"/>
      <c r="F11" s="36">
        <v>0</v>
      </c>
      <c r="G11" s="36">
        <v>4.2</v>
      </c>
      <c r="H11" s="36"/>
      <c r="I11" s="36"/>
      <c r="J11" s="36"/>
      <c r="K11" s="53"/>
      <c r="L11" s="51">
        <v>56</v>
      </c>
      <c r="M11" s="52">
        <f t="shared" si="1"/>
        <v>1.2876688525993627</v>
      </c>
      <c r="N11" s="6" t="str">
        <f t="shared" si="2"/>
        <v>Medium</v>
      </c>
      <c r="O11" s="36" t="s">
        <v>16</v>
      </c>
      <c r="P11" s="36" t="s">
        <v>19</v>
      </c>
      <c r="Q11" s="37">
        <v>0.999</v>
      </c>
      <c r="R11" s="15">
        <f t="shared" si="0"/>
        <v>5.600000000000005E-2</v>
      </c>
      <c r="S11" s="40"/>
      <c r="T11" s="49"/>
      <c r="U11" s="36"/>
      <c r="V11" s="19">
        <f t="shared" si="3"/>
        <v>0</v>
      </c>
    </row>
    <row r="12" spans="1:40" ht="16" x14ac:dyDescent="0.2">
      <c r="A12" s="41" t="s">
        <v>35</v>
      </c>
      <c r="B12" s="44" t="s">
        <v>16</v>
      </c>
      <c r="C12" s="36" t="s">
        <v>183</v>
      </c>
      <c r="D12" s="35" t="s">
        <v>41</v>
      </c>
      <c r="E12" s="36"/>
      <c r="F12" s="36">
        <v>0</v>
      </c>
      <c r="G12" s="36">
        <v>4.2</v>
      </c>
      <c r="H12" s="36"/>
      <c r="I12" s="36"/>
      <c r="J12" s="36"/>
      <c r="K12" s="53"/>
      <c r="L12" s="51">
        <v>9140</v>
      </c>
      <c r="M12" s="52">
        <f t="shared" si="1"/>
        <v>0.786632399083108</v>
      </c>
      <c r="N12" s="6" t="str">
        <f t="shared" si="2"/>
        <v>High</v>
      </c>
      <c r="O12" s="36" t="s">
        <v>16</v>
      </c>
      <c r="P12" s="36" t="s">
        <v>19</v>
      </c>
      <c r="Q12" s="37">
        <v>0.99</v>
      </c>
      <c r="R12" s="15">
        <f t="shared" si="0"/>
        <v>91.400000000000077</v>
      </c>
      <c r="S12" s="40"/>
      <c r="T12" s="49"/>
      <c r="U12" s="36"/>
      <c r="V12" s="19">
        <f t="shared" si="3"/>
        <v>0</v>
      </c>
    </row>
    <row r="13" spans="1:40" ht="16" x14ac:dyDescent="0.2">
      <c r="A13" s="34"/>
      <c r="B13" s="44" t="s">
        <v>16</v>
      </c>
      <c r="C13" s="36"/>
      <c r="D13" s="36"/>
      <c r="E13" s="36"/>
      <c r="F13" s="36"/>
      <c r="G13" s="36"/>
      <c r="H13" s="36"/>
      <c r="I13" s="36"/>
      <c r="J13" s="36"/>
      <c r="K13" s="53" t="str">
        <f t="shared" ref="K13:K43" si="4">IF(J13="","",IF(J13=0,0,(J13/E13)*1000000))</f>
        <v/>
      </c>
      <c r="L13" s="51"/>
      <c r="M13" s="52" t="str">
        <f t="shared" si="1"/>
        <v xml:space="preserve"> </v>
      </c>
      <c r="N13" s="6" t="str">
        <f t="shared" si="2"/>
        <v xml:space="preserve"> </v>
      </c>
      <c r="O13" s="36"/>
      <c r="P13" s="36"/>
      <c r="Q13" s="37"/>
      <c r="R13" s="15">
        <f t="shared" si="0"/>
        <v>0</v>
      </c>
      <c r="S13" s="40"/>
      <c r="T13" s="49"/>
      <c r="U13" s="36"/>
      <c r="V13" s="19">
        <f t="shared" si="3"/>
        <v>0</v>
      </c>
    </row>
    <row r="14" spans="1:40" ht="16" x14ac:dyDescent="0.2">
      <c r="A14" s="34"/>
      <c r="B14" s="44" t="s">
        <v>16</v>
      </c>
      <c r="C14" s="36"/>
      <c r="D14" s="36"/>
      <c r="E14" s="36"/>
      <c r="F14" s="36"/>
      <c r="G14" s="36"/>
      <c r="H14" s="36"/>
      <c r="I14" s="36"/>
      <c r="J14" s="36"/>
      <c r="K14" s="53" t="str">
        <f t="shared" si="4"/>
        <v/>
      </c>
      <c r="L14" s="51"/>
      <c r="M14" s="52" t="str">
        <f t="shared" si="1"/>
        <v xml:space="preserve"> </v>
      </c>
      <c r="N14" s="6" t="str">
        <f t="shared" si="2"/>
        <v xml:space="preserve"> </v>
      </c>
      <c r="O14" s="36"/>
      <c r="P14" s="36"/>
      <c r="Q14" s="37"/>
      <c r="R14" s="15">
        <f t="shared" si="0"/>
        <v>0</v>
      </c>
      <c r="S14" s="40"/>
      <c r="T14" s="49"/>
      <c r="U14" s="36"/>
      <c r="V14" s="19">
        <f t="shared" si="3"/>
        <v>0</v>
      </c>
    </row>
    <row r="15" spans="1:40" ht="16" x14ac:dyDescent="0.2">
      <c r="A15" s="34"/>
      <c r="B15" s="44" t="s">
        <v>18</v>
      </c>
      <c r="C15" s="36"/>
      <c r="D15" s="36"/>
      <c r="E15" s="36"/>
      <c r="F15" s="36"/>
      <c r="G15" s="36"/>
      <c r="H15" s="36"/>
      <c r="I15" s="36"/>
      <c r="J15" s="36"/>
      <c r="K15" s="53" t="str">
        <f t="shared" si="4"/>
        <v/>
      </c>
      <c r="L15" s="51"/>
      <c r="M15" s="52" t="str">
        <f t="shared" si="1"/>
        <v xml:space="preserve"> </v>
      </c>
      <c r="N15" s="6" t="str">
        <f t="shared" si="2"/>
        <v xml:space="preserve"> </v>
      </c>
      <c r="O15" s="36"/>
      <c r="P15" s="36"/>
      <c r="Q15" s="37"/>
      <c r="R15" s="15">
        <f t="shared" si="0"/>
        <v>0</v>
      </c>
      <c r="S15" s="40"/>
      <c r="T15" s="49"/>
      <c r="U15" s="36"/>
      <c r="V15" s="19">
        <f t="shared" si="3"/>
        <v>0</v>
      </c>
    </row>
    <row r="16" spans="1:40" ht="16" x14ac:dyDescent="0.2">
      <c r="A16" s="34"/>
      <c r="B16" s="44" t="s">
        <v>18</v>
      </c>
      <c r="C16" s="36"/>
      <c r="D16" s="36"/>
      <c r="E16" s="36"/>
      <c r="F16" s="36"/>
      <c r="G16" s="36"/>
      <c r="H16" s="36"/>
      <c r="I16" s="36"/>
      <c r="J16" s="36"/>
      <c r="K16" s="53" t="str">
        <f t="shared" si="4"/>
        <v/>
      </c>
      <c r="L16" s="51"/>
      <c r="M16" s="52" t="str">
        <f t="shared" si="1"/>
        <v xml:space="preserve"> </v>
      </c>
      <c r="N16" s="6" t="str">
        <f t="shared" si="2"/>
        <v xml:space="preserve"> </v>
      </c>
      <c r="O16" s="36"/>
      <c r="P16" s="36"/>
      <c r="Q16" s="37"/>
      <c r="R16" s="15">
        <f t="shared" si="0"/>
        <v>0</v>
      </c>
      <c r="S16" s="40"/>
      <c r="T16" s="49"/>
      <c r="U16" s="36"/>
      <c r="V16" s="19">
        <f t="shared" si="3"/>
        <v>0</v>
      </c>
    </row>
    <row r="17" spans="1:22" ht="16" x14ac:dyDescent="0.2">
      <c r="A17" s="34"/>
      <c r="B17" s="44" t="s">
        <v>18</v>
      </c>
      <c r="C17" s="36"/>
      <c r="D17" s="36"/>
      <c r="E17" s="36"/>
      <c r="F17" s="36"/>
      <c r="G17" s="36"/>
      <c r="H17" s="36"/>
      <c r="I17" s="36"/>
      <c r="J17" s="36"/>
      <c r="K17" s="53" t="str">
        <f t="shared" si="4"/>
        <v/>
      </c>
      <c r="L17" s="51"/>
      <c r="M17" s="52" t="str">
        <f t="shared" si="1"/>
        <v xml:space="preserve"> </v>
      </c>
      <c r="N17" s="6" t="str">
        <f t="shared" si="2"/>
        <v xml:space="preserve"> </v>
      </c>
      <c r="O17" s="36"/>
      <c r="P17" s="36"/>
      <c r="Q17" s="37"/>
      <c r="R17" s="15">
        <f t="shared" si="0"/>
        <v>0</v>
      </c>
      <c r="S17" s="40"/>
      <c r="T17" s="49"/>
      <c r="U17" s="36"/>
      <c r="V17" s="19">
        <f t="shared" si="3"/>
        <v>0</v>
      </c>
    </row>
    <row r="18" spans="1:22" ht="16" x14ac:dyDescent="0.2">
      <c r="A18" s="34"/>
      <c r="B18" s="44" t="s">
        <v>18</v>
      </c>
      <c r="C18" s="36"/>
      <c r="D18" s="36"/>
      <c r="E18" s="36"/>
      <c r="F18" s="36"/>
      <c r="G18" s="36"/>
      <c r="H18" s="36"/>
      <c r="I18" s="36"/>
      <c r="J18" s="36"/>
      <c r="K18" s="53" t="str">
        <f t="shared" si="4"/>
        <v/>
      </c>
      <c r="L18" s="51"/>
      <c r="M18" s="52" t="str">
        <f t="shared" si="1"/>
        <v xml:space="preserve"> </v>
      </c>
      <c r="N18" s="6" t="str">
        <f t="shared" si="2"/>
        <v xml:space="preserve"> </v>
      </c>
      <c r="O18" s="36"/>
      <c r="P18" s="36"/>
      <c r="Q18" s="37"/>
      <c r="R18" s="15">
        <f t="shared" si="0"/>
        <v>0</v>
      </c>
      <c r="S18" s="40"/>
      <c r="T18" s="49"/>
      <c r="U18" s="36"/>
      <c r="V18" s="19">
        <f t="shared" si="3"/>
        <v>0</v>
      </c>
    </row>
    <row r="19" spans="1:22" ht="16" x14ac:dyDescent="0.2">
      <c r="A19" s="34"/>
      <c r="B19" s="44" t="s">
        <v>18</v>
      </c>
      <c r="C19" s="36"/>
      <c r="D19" s="36"/>
      <c r="E19" s="36"/>
      <c r="F19" s="36"/>
      <c r="G19" s="36"/>
      <c r="H19" s="36"/>
      <c r="I19" s="36"/>
      <c r="J19" s="36"/>
      <c r="K19" s="53" t="str">
        <f t="shared" si="4"/>
        <v/>
      </c>
      <c r="L19" s="51"/>
      <c r="M19" s="52" t="str">
        <f t="shared" si="1"/>
        <v xml:space="preserve"> </v>
      </c>
      <c r="N19" s="6" t="str">
        <f t="shared" si="2"/>
        <v xml:space="preserve"> </v>
      </c>
      <c r="O19" s="36"/>
      <c r="P19" s="36"/>
      <c r="Q19" s="37"/>
      <c r="R19" s="15">
        <f t="shared" si="0"/>
        <v>0</v>
      </c>
      <c r="S19" s="40"/>
      <c r="T19" s="49"/>
      <c r="U19" s="36"/>
      <c r="V19" s="19">
        <f t="shared" si="3"/>
        <v>0</v>
      </c>
    </row>
    <row r="20" spans="1:22" ht="16" x14ac:dyDescent="0.2">
      <c r="A20" s="34"/>
      <c r="B20" s="44" t="s">
        <v>18</v>
      </c>
      <c r="C20" s="36"/>
      <c r="D20" s="36"/>
      <c r="E20" s="36"/>
      <c r="F20" s="36"/>
      <c r="G20" s="36"/>
      <c r="H20" s="36"/>
      <c r="I20" s="36"/>
      <c r="J20" s="36"/>
      <c r="K20" s="53" t="str">
        <f t="shared" si="4"/>
        <v/>
      </c>
      <c r="L20" s="51"/>
      <c r="M20" s="52" t="str">
        <f t="shared" si="1"/>
        <v xml:space="preserve"> </v>
      </c>
      <c r="N20" s="6" t="str">
        <f t="shared" si="2"/>
        <v xml:space="preserve"> </v>
      </c>
      <c r="O20" s="36"/>
      <c r="P20" s="36"/>
      <c r="Q20" s="37"/>
      <c r="R20" s="15">
        <f t="shared" si="0"/>
        <v>0</v>
      </c>
      <c r="S20" s="40"/>
      <c r="T20" s="49"/>
      <c r="U20" s="36"/>
      <c r="V20" s="19">
        <f t="shared" si="3"/>
        <v>0</v>
      </c>
    </row>
    <row r="21" spans="1:22" ht="16" x14ac:dyDescent="0.2">
      <c r="A21" s="34"/>
      <c r="B21" s="44" t="s">
        <v>18</v>
      </c>
      <c r="C21" s="36"/>
      <c r="D21" s="36"/>
      <c r="E21" s="36"/>
      <c r="F21" s="36"/>
      <c r="G21" s="36"/>
      <c r="H21" s="36"/>
      <c r="I21" s="36"/>
      <c r="J21" s="36"/>
      <c r="K21" s="53" t="str">
        <f t="shared" si="4"/>
        <v/>
      </c>
      <c r="L21" s="51"/>
      <c r="M21" s="52" t="str">
        <f t="shared" si="1"/>
        <v xml:space="preserve"> </v>
      </c>
      <c r="N21" s="6" t="str">
        <f t="shared" si="2"/>
        <v xml:space="preserve"> </v>
      </c>
      <c r="O21" s="36"/>
      <c r="P21" s="36"/>
      <c r="Q21" s="37"/>
      <c r="R21" s="15">
        <f t="shared" si="0"/>
        <v>0</v>
      </c>
      <c r="S21" s="40"/>
      <c r="T21" s="49"/>
      <c r="U21" s="36"/>
      <c r="V21" s="19">
        <f t="shared" si="3"/>
        <v>0</v>
      </c>
    </row>
    <row r="22" spans="1:22" ht="16" x14ac:dyDescent="0.2">
      <c r="A22" s="34"/>
      <c r="B22" s="44" t="s">
        <v>18</v>
      </c>
      <c r="C22" s="36"/>
      <c r="D22" s="36"/>
      <c r="E22" s="36"/>
      <c r="F22" s="36"/>
      <c r="G22" s="36"/>
      <c r="H22" s="36"/>
      <c r="I22" s="36"/>
      <c r="J22" s="36"/>
      <c r="K22" s="53" t="str">
        <f t="shared" si="4"/>
        <v/>
      </c>
      <c r="L22" s="51"/>
      <c r="M22" s="52" t="str">
        <f t="shared" si="1"/>
        <v xml:space="preserve"> </v>
      </c>
      <c r="N22" s="6" t="str">
        <f t="shared" si="2"/>
        <v xml:space="preserve"> </v>
      </c>
      <c r="O22" s="36"/>
      <c r="P22" s="36"/>
      <c r="Q22" s="37"/>
      <c r="R22" s="15">
        <f t="shared" si="0"/>
        <v>0</v>
      </c>
      <c r="S22" s="40"/>
      <c r="T22" s="49"/>
      <c r="U22" s="36"/>
      <c r="V22" s="19">
        <f t="shared" si="3"/>
        <v>0</v>
      </c>
    </row>
    <row r="23" spans="1:22" ht="16" x14ac:dyDescent="0.2">
      <c r="A23" s="34"/>
      <c r="B23" s="44" t="s">
        <v>18</v>
      </c>
      <c r="C23" s="36"/>
      <c r="D23" s="36"/>
      <c r="E23" s="36"/>
      <c r="F23" s="36"/>
      <c r="G23" s="36"/>
      <c r="H23" s="36"/>
      <c r="I23" s="36"/>
      <c r="J23" s="36"/>
      <c r="K23" s="53" t="str">
        <f t="shared" si="4"/>
        <v/>
      </c>
      <c r="L23" s="51"/>
      <c r="M23" s="52" t="str">
        <f t="shared" si="1"/>
        <v xml:space="preserve"> </v>
      </c>
      <c r="N23" s="6" t="str">
        <f t="shared" si="2"/>
        <v xml:space="preserve"> </v>
      </c>
      <c r="O23" s="36"/>
      <c r="P23" s="36"/>
      <c r="Q23" s="37"/>
      <c r="R23" s="15">
        <f t="shared" si="0"/>
        <v>0</v>
      </c>
      <c r="S23" s="40"/>
      <c r="T23" s="49"/>
      <c r="U23" s="36"/>
      <c r="V23" s="19">
        <f t="shared" si="3"/>
        <v>0</v>
      </c>
    </row>
    <row r="24" spans="1:22" ht="16" x14ac:dyDescent="0.2">
      <c r="A24" s="36"/>
      <c r="B24" s="44" t="s">
        <v>18</v>
      </c>
      <c r="C24" s="36"/>
      <c r="D24" s="36"/>
      <c r="E24" s="36"/>
      <c r="F24" s="36"/>
      <c r="G24" s="36"/>
      <c r="H24" s="36"/>
      <c r="I24" s="36"/>
      <c r="J24" s="36"/>
      <c r="K24" s="53" t="str">
        <f t="shared" si="4"/>
        <v/>
      </c>
      <c r="L24" s="51"/>
      <c r="M24" s="52" t="str">
        <f t="shared" si="1"/>
        <v xml:space="preserve"> </v>
      </c>
      <c r="N24" s="6" t="str">
        <f t="shared" si="2"/>
        <v xml:space="preserve"> </v>
      </c>
      <c r="O24" s="36"/>
      <c r="P24" s="36"/>
      <c r="Q24" s="37"/>
      <c r="R24" s="15">
        <f t="shared" si="0"/>
        <v>0</v>
      </c>
      <c r="S24" s="40"/>
      <c r="T24" s="49"/>
      <c r="U24" s="36"/>
      <c r="V24" s="19">
        <f t="shared" si="3"/>
        <v>0</v>
      </c>
    </row>
    <row r="25" spans="1:22" ht="16" x14ac:dyDescent="0.2">
      <c r="A25" s="36"/>
      <c r="B25" s="44" t="s">
        <v>18</v>
      </c>
      <c r="C25" s="36"/>
      <c r="D25" s="36"/>
      <c r="E25" s="36"/>
      <c r="F25" s="36"/>
      <c r="G25" s="36"/>
      <c r="H25" s="36"/>
      <c r="I25" s="36"/>
      <c r="J25" s="36"/>
      <c r="K25" s="53" t="str">
        <f t="shared" si="4"/>
        <v/>
      </c>
      <c r="L25" s="51"/>
      <c r="M25" s="52" t="str">
        <f t="shared" si="1"/>
        <v xml:space="preserve"> </v>
      </c>
      <c r="N25" s="6" t="str">
        <f t="shared" si="2"/>
        <v xml:space="preserve"> </v>
      </c>
      <c r="O25" s="36"/>
      <c r="P25" s="36"/>
      <c r="Q25" s="37"/>
      <c r="R25" s="15">
        <f t="shared" si="0"/>
        <v>0</v>
      </c>
      <c r="S25" s="40"/>
      <c r="T25" s="49"/>
      <c r="U25" s="36"/>
      <c r="V25" s="19">
        <f t="shared" si="3"/>
        <v>0</v>
      </c>
    </row>
    <row r="26" spans="1:22" ht="16" x14ac:dyDescent="0.2">
      <c r="A26" s="36"/>
      <c r="B26" s="44" t="s">
        <v>18</v>
      </c>
      <c r="C26" s="36"/>
      <c r="D26" s="36"/>
      <c r="E26" s="36"/>
      <c r="F26" s="36"/>
      <c r="G26" s="36"/>
      <c r="H26" s="36"/>
      <c r="I26" s="36"/>
      <c r="J26" s="36"/>
      <c r="K26" s="53" t="str">
        <f t="shared" si="4"/>
        <v/>
      </c>
      <c r="L26" s="51"/>
      <c r="M26" s="52" t="str">
        <f t="shared" si="1"/>
        <v xml:space="preserve"> </v>
      </c>
      <c r="N26" s="6" t="str">
        <f t="shared" si="2"/>
        <v xml:space="preserve"> </v>
      </c>
      <c r="O26" s="36"/>
      <c r="P26" s="36"/>
      <c r="Q26" s="37"/>
      <c r="R26" s="15">
        <f t="shared" si="0"/>
        <v>0</v>
      </c>
      <c r="S26" s="40"/>
      <c r="T26" s="49"/>
      <c r="U26" s="36"/>
      <c r="V26" s="19">
        <f t="shared" si="3"/>
        <v>0</v>
      </c>
    </row>
    <row r="27" spans="1:22" ht="16" x14ac:dyDescent="0.2">
      <c r="A27" s="36"/>
      <c r="B27" s="44" t="s">
        <v>18</v>
      </c>
      <c r="C27" s="36"/>
      <c r="D27" s="36"/>
      <c r="E27" s="36"/>
      <c r="F27" s="36"/>
      <c r="G27" s="36"/>
      <c r="H27" s="36"/>
      <c r="I27" s="36"/>
      <c r="J27" s="36"/>
      <c r="K27" s="53" t="str">
        <f t="shared" si="4"/>
        <v/>
      </c>
      <c r="L27" s="51"/>
      <c r="M27" s="52" t="str">
        <f t="shared" si="1"/>
        <v xml:space="preserve"> </v>
      </c>
      <c r="N27" s="6" t="str">
        <f t="shared" si="2"/>
        <v xml:space="preserve"> </v>
      </c>
      <c r="O27" s="36"/>
      <c r="P27" s="36"/>
      <c r="Q27" s="37"/>
      <c r="R27" s="15">
        <f t="shared" si="0"/>
        <v>0</v>
      </c>
      <c r="S27" s="40"/>
      <c r="T27" s="49"/>
      <c r="U27" s="36"/>
      <c r="V27" s="19">
        <f t="shared" si="3"/>
        <v>0</v>
      </c>
    </row>
    <row r="28" spans="1:22" ht="16" x14ac:dyDescent="0.2">
      <c r="A28" s="36"/>
      <c r="B28" s="44" t="s">
        <v>18</v>
      </c>
      <c r="C28" s="36"/>
      <c r="D28" s="36"/>
      <c r="E28" s="36"/>
      <c r="F28" s="36"/>
      <c r="G28" s="36"/>
      <c r="H28" s="36"/>
      <c r="I28" s="36"/>
      <c r="J28" s="36"/>
      <c r="K28" s="53" t="str">
        <f t="shared" si="4"/>
        <v/>
      </c>
      <c r="L28" s="51"/>
      <c r="M28" s="52" t="str">
        <f t="shared" si="1"/>
        <v xml:space="preserve"> </v>
      </c>
      <c r="N28" s="6" t="str">
        <f t="shared" si="2"/>
        <v xml:space="preserve"> </v>
      </c>
      <c r="O28" s="36"/>
      <c r="P28" s="36"/>
      <c r="Q28" s="37"/>
      <c r="R28" s="15">
        <f t="shared" si="0"/>
        <v>0</v>
      </c>
      <c r="S28" s="40"/>
      <c r="T28" s="49"/>
      <c r="U28" s="36"/>
      <c r="V28" s="19">
        <f t="shared" si="3"/>
        <v>0</v>
      </c>
    </row>
    <row r="29" spans="1:22" ht="16" x14ac:dyDescent="0.2">
      <c r="A29" s="36"/>
      <c r="B29" s="44" t="s">
        <v>18</v>
      </c>
      <c r="C29" s="36"/>
      <c r="D29" s="36"/>
      <c r="E29" s="36"/>
      <c r="F29" s="36"/>
      <c r="G29" s="36"/>
      <c r="H29" s="36"/>
      <c r="I29" s="36"/>
      <c r="J29" s="36"/>
      <c r="K29" s="53" t="str">
        <f t="shared" si="4"/>
        <v/>
      </c>
      <c r="L29" s="51"/>
      <c r="M29" s="52" t="str">
        <f t="shared" si="1"/>
        <v xml:space="preserve"> </v>
      </c>
      <c r="N29" s="6" t="str">
        <f t="shared" si="2"/>
        <v xml:space="preserve"> </v>
      </c>
      <c r="O29" s="36"/>
      <c r="P29" s="36"/>
      <c r="Q29" s="37"/>
      <c r="R29" s="15">
        <f t="shared" si="0"/>
        <v>0</v>
      </c>
      <c r="S29" s="40"/>
      <c r="T29" s="49"/>
      <c r="U29" s="36"/>
      <c r="V29" s="19">
        <f t="shared" si="3"/>
        <v>0</v>
      </c>
    </row>
    <row r="30" spans="1:22" ht="16" x14ac:dyDescent="0.2">
      <c r="A30" s="36"/>
      <c r="B30" s="44" t="s">
        <v>18</v>
      </c>
      <c r="C30" s="36"/>
      <c r="D30" s="36"/>
      <c r="E30" s="36"/>
      <c r="F30" s="36"/>
      <c r="G30" s="36"/>
      <c r="H30" s="36"/>
      <c r="I30" s="36"/>
      <c r="J30" s="36"/>
      <c r="K30" s="53" t="str">
        <f t="shared" si="4"/>
        <v/>
      </c>
      <c r="L30" s="51"/>
      <c r="M30" s="52" t="str">
        <f t="shared" si="1"/>
        <v xml:space="preserve"> </v>
      </c>
      <c r="N30" s="6" t="str">
        <f t="shared" si="2"/>
        <v xml:space="preserve"> </v>
      </c>
      <c r="O30" s="36"/>
      <c r="P30" s="36"/>
      <c r="Q30" s="37"/>
      <c r="R30" s="15">
        <f t="shared" si="0"/>
        <v>0</v>
      </c>
      <c r="S30" s="40"/>
      <c r="T30" s="49"/>
      <c r="U30" s="36"/>
      <c r="V30" s="19">
        <f t="shared" si="3"/>
        <v>0</v>
      </c>
    </row>
    <row r="31" spans="1:22" ht="16" x14ac:dyDescent="0.2">
      <c r="A31" s="36"/>
      <c r="B31" s="44" t="s">
        <v>18</v>
      </c>
      <c r="C31" s="36"/>
      <c r="D31" s="36"/>
      <c r="E31" s="36"/>
      <c r="F31" s="36"/>
      <c r="G31" s="36"/>
      <c r="H31" s="36"/>
      <c r="I31" s="36"/>
      <c r="J31" s="36"/>
      <c r="K31" s="53" t="str">
        <f t="shared" si="4"/>
        <v/>
      </c>
      <c r="L31" s="51"/>
      <c r="M31" s="52" t="str">
        <f t="shared" si="1"/>
        <v xml:space="preserve"> </v>
      </c>
      <c r="N31" s="6" t="str">
        <f t="shared" si="2"/>
        <v xml:space="preserve"> </v>
      </c>
      <c r="O31" s="36"/>
      <c r="P31" s="36"/>
      <c r="Q31" s="37"/>
      <c r="R31" s="15">
        <f t="shared" si="0"/>
        <v>0</v>
      </c>
      <c r="S31" s="40"/>
      <c r="T31" s="49"/>
      <c r="U31" s="36"/>
      <c r="V31" s="19">
        <f t="shared" si="3"/>
        <v>0</v>
      </c>
    </row>
    <row r="32" spans="1:22" ht="16" x14ac:dyDescent="0.2">
      <c r="A32" s="36"/>
      <c r="B32" s="44" t="s">
        <v>18</v>
      </c>
      <c r="C32" s="36"/>
      <c r="D32" s="36"/>
      <c r="E32" s="36"/>
      <c r="F32" s="36"/>
      <c r="G32" s="36"/>
      <c r="H32" s="36"/>
      <c r="I32" s="36"/>
      <c r="J32" s="36"/>
      <c r="K32" s="53" t="str">
        <f t="shared" si="4"/>
        <v/>
      </c>
      <c r="L32" s="51"/>
      <c r="M32" s="52" t="str">
        <f t="shared" si="1"/>
        <v xml:space="preserve"> </v>
      </c>
      <c r="N32" s="6" t="str">
        <f t="shared" si="2"/>
        <v xml:space="preserve"> </v>
      </c>
      <c r="O32" s="36"/>
      <c r="P32" s="36"/>
      <c r="Q32" s="37"/>
      <c r="R32" s="15">
        <f t="shared" si="0"/>
        <v>0</v>
      </c>
      <c r="S32" s="40"/>
      <c r="T32" s="49"/>
      <c r="U32" s="36"/>
      <c r="V32" s="19">
        <f t="shared" si="3"/>
        <v>0</v>
      </c>
    </row>
    <row r="33" spans="1:22" ht="16" x14ac:dyDescent="0.2">
      <c r="A33" s="36"/>
      <c r="B33" s="44" t="s">
        <v>18</v>
      </c>
      <c r="C33" s="36"/>
      <c r="D33" s="36"/>
      <c r="E33" s="36"/>
      <c r="F33" s="36"/>
      <c r="G33" s="36"/>
      <c r="H33" s="36"/>
      <c r="I33" s="36"/>
      <c r="J33" s="36"/>
      <c r="K33" s="53" t="str">
        <f t="shared" si="4"/>
        <v/>
      </c>
      <c r="L33" s="51"/>
      <c r="M33" s="52" t="str">
        <f t="shared" si="1"/>
        <v xml:space="preserve"> </v>
      </c>
      <c r="N33" s="6" t="str">
        <f t="shared" si="2"/>
        <v xml:space="preserve"> </v>
      </c>
      <c r="O33" s="36"/>
      <c r="P33" s="36"/>
      <c r="Q33" s="37"/>
      <c r="R33" s="15">
        <f t="shared" si="0"/>
        <v>0</v>
      </c>
      <c r="S33" s="40"/>
      <c r="T33" s="49"/>
      <c r="U33" s="36"/>
      <c r="V33" s="19">
        <f t="shared" si="3"/>
        <v>0</v>
      </c>
    </row>
    <row r="34" spans="1:22" ht="16" x14ac:dyDescent="0.2">
      <c r="A34" s="36"/>
      <c r="B34" s="44" t="s">
        <v>18</v>
      </c>
      <c r="C34" s="36"/>
      <c r="D34" s="36"/>
      <c r="E34" s="36"/>
      <c r="F34" s="36"/>
      <c r="G34" s="36"/>
      <c r="H34" s="36"/>
      <c r="I34" s="36"/>
      <c r="J34" s="36"/>
      <c r="K34" s="53" t="str">
        <f t="shared" si="4"/>
        <v/>
      </c>
      <c r="L34" s="51"/>
      <c r="M34" s="52" t="str">
        <f t="shared" si="1"/>
        <v xml:space="preserve"> </v>
      </c>
      <c r="N34" s="6" t="str">
        <f t="shared" si="2"/>
        <v xml:space="preserve"> </v>
      </c>
      <c r="O34" s="36"/>
      <c r="P34" s="36"/>
      <c r="Q34" s="37"/>
      <c r="R34" s="15">
        <f t="shared" si="0"/>
        <v>0</v>
      </c>
      <c r="S34" s="40"/>
      <c r="T34" s="49"/>
      <c r="U34" s="36"/>
      <c r="V34" s="19">
        <f t="shared" si="3"/>
        <v>0</v>
      </c>
    </row>
    <row r="35" spans="1:22" ht="16" x14ac:dyDescent="0.2">
      <c r="A35" s="36"/>
      <c r="B35" s="44" t="s">
        <v>18</v>
      </c>
      <c r="C35" s="36"/>
      <c r="D35" s="36"/>
      <c r="E35" s="36"/>
      <c r="F35" s="36"/>
      <c r="G35" s="36"/>
      <c r="H35" s="36"/>
      <c r="I35" s="36"/>
      <c r="J35" s="36"/>
      <c r="K35" s="53" t="str">
        <f t="shared" si="4"/>
        <v/>
      </c>
      <c r="L35" s="51"/>
      <c r="M35" s="52" t="str">
        <f t="shared" si="1"/>
        <v xml:space="preserve"> </v>
      </c>
      <c r="N35" s="6" t="str">
        <f t="shared" si="2"/>
        <v xml:space="preserve"> </v>
      </c>
      <c r="O35" s="36"/>
      <c r="P35" s="36"/>
      <c r="Q35" s="37"/>
      <c r="R35" s="15">
        <f t="shared" si="0"/>
        <v>0</v>
      </c>
      <c r="S35" s="40"/>
      <c r="T35" s="49"/>
      <c r="U35" s="36"/>
      <c r="V35" s="19">
        <f t="shared" si="3"/>
        <v>0</v>
      </c>
    </row>
    <row r="36" spans="1:22" ht="16" x14ac:dyDescent="0.2">
      <c r="A36" s="36"/>
      <c r="B36" s="44" t="s">
        <v>18</v>
      </c>
      <c r="C36" s="36"/>
      <c r="D36" s="36"/>
      <c r="E36" s="36"/>
      <c r="F36" s="36"/>
      <c r="G36" s="36"/>
      <c r="H36" s="36"/>
      <c r="I36" s="36"/>
      <c r="J36" s="36"/>
      <c r="K36" s="53" t="str">
        <f t="shared" si="4"/>
        <v/>
      </c>
      <c r="L36" s="51"/>
      <c r="M36" s="52" t="str">
        <f t="shared" si="1"/>
        <v xml:space="preserve"> </v>
      </c>
      <c r="N36" s="6" t="str">
        <f t="shared" si="2"/>
        <v xml:space="preserve"> </v>
      </c>
      <c r="O36" s="36"/>
      <c r="P36" s="36"/>
      <c r="Q36" s="37"/>
      <c r="R36" s="15">
        <f t="shared" si="0"/>
        <v>0</v>
      </c>
      <c r="S36" s="40"/>
      <c r="T36" s="49"/>
      <c r="U36" s="36"/>
      <c r="V36" s="19">
        <f t="shared" si="3"/>
        <v>0</v>
      </c>
    </row>
    <row r="37" spans="1:22" ht="16" x14ac:dyDescent="0.2">
      <c r="A37" s="36"/>
      <c r="B37" s="44" t="s">
        <v>18</v>
      </c>
      <c r="C37" s="36"/>
      <c r="D37" s="36"/>
      <c r="E37" s="36"/>
      <c r="F37" s="36"/>
      <c r="G37" s="36"/>
      <c r="H37" s="36"/>
      <c r="I37" s="36"/>
      <c r="J37" s="36"/>
      <c r="K37" s="53" t="str">
        <f t="shared" si="4"/>
        <v/>
      </c>
      <c r="L37" s="51"/>
      <c r="M37" s="52" t="str">
        <f t="shared" si="1"/>
        <v xml:space="preserve"> </v>
      </c>
      <c r="N37" s="6" t="str">
        <f t="shared" si="2"/>
        <v xml:space="preserve"> </v>
      </c>
      <c r="O37" s="36"/>
      <c r="P37" s="36"/>
      <c r="Q37" s="37"/>
      <c r="R37" s="15">
        <f t="shared" si="0"/>
        <v>0</v>
      </c>
      <c r="S37" s="40"/>
      <c r="T37" s="49"/>
      <c r="U37" s="36"/>
      <c r="V37" s="19">
        <f t="shared" si="3"/>
        <v>0</v>
      </c>
    </row>
    <row r="38" spans="1:22" ht="16" x14ac:dyDescent="0.2">
      <c r="A38" s="36"/>
      <c r="B38" s="44" t="s">
        <v>18</v>
      </c>
      <c r="C38" s="36"/>
      <c r="D38" s="36"/>
      <c r="E38" s="36"/>
      <c r="F38" s="36"/>
      <c r="G38" s="36"/>
      <c r="H38" s="36"/>
      <c r="I38" s="36"/>
      <c r="J38" s="36"/>
      <c r="K38" s="53" t="str">
        <f t="shared" si="4"/>
        <v/>
      </c>
      <c r="L38" s="51"/>
      <c r="M38" s="52" t="str">
        <f t="shared" si="1"/>
        <v xml:space="preserve"> </v>
      </c>
      <c r="N38" s="6" t="str">
        <f t="shared" si="2"/>
        <v xml:space="preserve"> </v>
      </c>
      <c r="O38" s="36"/>
      <c r="P38" s="36"/>
      <c r="Q38" s="37"/>
      <c r="R38" s="15">
        <f t="shared" si="0"/>
        <v>0</v>
      </c>
      <c r="S38" s="40"/>
      <c r="T38" s="49"/>
      <c r="U38" s="36"/>
      <c r="V38" s="19">
        <f t="shared" si="3"/>
        <v>0</v>
      </c>
    </row>
    <row r="39" spans="1:22" ht="16" x14ac:dyDescent="0.2">
      <c r="A39" s="36"/>
      <c r="B39" s="44" t="s">
        <v>18</v>
      </c>
      <c r="C39" s="36"/>
      <c r="D39" s="36"/>
      <c r="E39" s="36"/>
      <c r="F39" s="36"/>
      <c r="G39" s="36"/>
      <c r="H39" s="36"/>
      <c r="I39" s="36"/>
      <c r="J39" s="36"/>
      <c r="K39" s="53" t="str">
        <f t="shared" si="4"/>
        <v/>
      </c>
      <c r="L39" s="51"/>
      <c r="M39" s="52" t="str">
        <f t="shared" si="1"/>
        <v xml:space="preserve"> </v>
      </c>
      <c r="N39" s="6" t="str">
        <f t="shared" si="2"/>
        <v xml:space="preserve"> </v>
      </c>
      <c r="O39" s="36"/>
      <c r="P39" s="36"/>
      <c r="Q39" s="37"/>
      <c r="R39" s="15">
        <f t="shared" si="0"/>
        <v>0</v>
      </c>
      <c r="S39" s="40"/>
      <c r="T39" s="49"/>
      <c r="U39" s="36"/>
      <c r="V39" s="19">
        <f t="shared" si="3"/>
        <v>0</v>
      </c>
    </row>
    <row r="40" spans="1:22" ht="16" x14ac:dyDescent="0.2">
      <c r="A40" s="36"/>
      <c r="B40" s="44" t="s">
        <v>18</v>
      </c>
      <c r="C40" s="36"/>
      <c r="D40" s="36"/>
      <c r="E40" s="36"/>
      <c r="F40" s="36"/>
      <c r="G40" s="36"/>
      <c r="H40" s="36"/>
      <c r="I40" s="36"/>
      <c r="J40" s="36"/>
      <c r="K40" s="53" t="str">
        <f t="shared" si="4"/>
        <v/>
      </c>
      <c r="L40" s="51"/>
      <c r="M40" s="52" t="str">
        <f t="shared" si="1"/>
        <v xml:space="preserve"> </v>
      </c>
      <c r="N40" s="6" t="str">
        <f t="shared" si="2"/>
        <v xml:space="preserve"> </v>
      </c>
      <c r="O40" s="36"/>
      <c r="P40" s="36"/>
      <c r="Q40" s="37"/>
      <c r="R40" s="15">
        <f t="shared" si="0"/>
        <v>0</v>
      </c>
      <c r="S40" s="40"/>
      <c r="T40" s="49"/>
      <c r="U40" s="36"/>
      <c r="V40" s="19">
        <f t="shared" si="3"/>
        <v>0</v>
      </c>
    </row>
    <row r="41" spans="1:22" ht="16" x14ac:dyDescent="0.2">
      <c r="A41" s="36"/>
      <c r="B41" s="44" t="s">
        <v>18</v>
      </c>
      <c r="C41" s="36"/>
      <c r="D41" s="36"/>
      <c r="E41" s="36"/>
      <c r="F41" s="36"/>
      <c r="G41" s="36"/>
      <c r="H41" s="36"/>
      <c r="I41" s="36"/>
      <c r="J41" s="36"/>
      <c r="K41" s="53" t="str">
        <f t="shared" si="4"/>
        <v/>
      </c>
      <c r="L41" s="51"/>
      <c r="M41" s="52" t="str">
        <f t="shared" si="1"/>
        <v xml:space="preserve"> </v>
      </c>
      <c r="N41" s="6" t="str">
        <f t="shared" si="2"/>
        <v xml:space="preserve"> </v>
      </c>
      <c r="O41" s="36"/>
      <c r="P41" s="36"/>
      <c r="Q41" s="37"/>
      <c r="R41" s="15">
        <f t="shared" si="0"/>
        <v>0</v>
      </c>
      <c r="S41" s="40"/>
      <c r="T41" s="49"/>
      <c r="U41" s="36"/>
      <c r="V41" s="19">
        <f t="shared" si="3"/>
        <v>0</v>
      </c>
    </row>
    <row r="42" spans="1:22" ht="16" x14ac:dyDescent="0.2">
      <c r="A42" s="36"/>
      <c r="B42" s="44" t="s">
        <v>18</v>
      </c>
      <c r="C42" s="36"/>
      <c r="D42" s="36"/>
      <c r="E42" s="36"/>
      <c r="F42" s="36"/>
      <c r="G42" s="36"/>
      <c r="H42" s="36"/>
      <c r="I42" s="36"/>
      <c r="J42" s="36"/>
      <c r="K42" s="53" t="str">
        <f t="shared" si="4"/>
        <v/>
      </c>
      <c r="L42" s="51"/>
      <c r="M42" s="52" t="str">
        <f t="shared" si="1"/>
        <v xml:space="preserve"> </v>
      </c>
      <c r="N42" s="6" t="str">
        <f t="shared" si="2"/>
        <v xml:space="preserve"> </v>
      </c>
      <c r="O42" s="36"/>
      <c r="P42" s="36"/>
      <c r="Q42" s="37"/>
      <c r="R42" s="15">
        <f t="shared" si="0"/>
        <v>0</v>
      </c>
      <c r="S42" s="40"/>
      <c r="T42" s="49"/>
      <c r="U42" s="36"/>
      <c r="V42" s="19">
        <f t="shared" si="3"/>
        <v>0</v>
      </c>
    </row>
    <row r="43" spans="1:22" ht="16" x14ac:dyDescent="0.2">
      <c r="A43" s="36"/>
      <c r="B43" s="44" t="s">
        <v>18</v>
      </c>
      <c r="C43" s="36"/>
      <c r="D43" s="36"/>
      <c r="E43" s="36"/>
      <c r="F43" s="36"/>
      <c r="G43" s="36"/>
      <c r="H43" s="36"/>
      <c r="I43" s="36"/>
      <c r="J43" s="36"/>
      <c r="K43" s="53" t="str">
        <f t="shared" si="4"/>
        <v/>
      </c>
      <c r="L43" s="51"/>
      <c r="M43" s="52" t="str">
        <f t="shared" si="1"/>
        <v xml:space="preserve"> </v>
      </c>
      <c r="N43" s="6" t="str">
        <f t="shared" si="2"/>
        <v xml:space="preserve"> </v>
      </c>
      <c r="O43" s="36"/>
      <c r="P43" s="36"/>
      <c r="Q43" s="37"/>
      <c r="R43" s="15">
        <f t="shared" si="0"/>
        <v>0</v>
      </c>
      <c r="S43" s="40"/>
      <c r="T43" s="49"/>
      <c r="U43" s="36"/>
      <c r="V43" s="19">
        <f t="shared" si="3"/>
        <v>0</v>
      </c>
    </row>
    <row r="44" spans="1:22" x14ac:dyDescent="0.2">
      <c r="A44" s="1" t="s">
        <v>32</v>
      </c>
      <c r="D44" s="1" t="s">
        <v>26</v>
      </c>
      <c r="Q44" s="3" t="s">
        <v>22</v>
      </c>
      <c r="R44" s="3">
        <f>SUM(R6:R43)</f>
        <v>608.56300000000056</v>
      </c>
    </row>
    <row r="45" spans="1:22" x14ac:dyDescent="0.2">
      <c r="C45" s="1" t="s">
        <v>16</v>
      </c>
      <c r="D45" s="1" t="s">
        <v>19</v>
      </c>
      <c r="F45" s="14">
        <v>0</v>
      </c>
    </row>
    <row r="46" spans="1:22" x14ac:dyDescent="0.2">
      <c r="C46" s="1" t="s">
        <v>18</v>
      </c>
      <c r="D46" s="1" t="s">
        <v>20</v>
      </c>
      <c r="F46" s="14">
        <v>0.85</v>
      </c>
    </row>
    <row r="47" spans="1:22" x14ac:dyDescent="0.2">
      <c r="D47" s="1" t="s">
        <v>21</v>
      </c>
      <c r="F47" s="14">
        <v>0.9</v>
      </c>
    </row>
    <row r="48" spans="1:22" x14ac:dyDescent="0.2">
      <c r="F48" s="14">
        <v>0.95</v>
      </c>
    </row>
    <row r="49" spans="6:6" x14ac:dyDescent="0.2">
      <c r="F49" s="14">
        <v>0.99</v>
      </c>
    </row>
    <row r="50" spans="6:6" x14ac:dyDescent="0.2">
      <c r="F50" s="14">
        <v>0.999</v>
      </c>
    </row>
  </sheetData>
  <mergeCells count="3">
    <mergeCell ref="S3:V4"/>
    <mergeCell ref="O3:R4"/>
    <mergeCell ref="B1:I3"/>
  </mergeCells>
  <conditionalFormatting sqref="N6:N43">
    <cfRule type="containsText" dxfId="102" priority="2" stopIfTrue="1" operator="containsText" text="Low">
      <formula>NOT(ISERROR(SEARCH("Low",N6)))</formula>
    </cfRule>
    <cfRule type="containsText" dxfId="101" priority="3" stopIfTrue="1" operator="containsText" text="High">
      <formula>NOT(ISERROR(SEARCH("High",N6)))</formula>
    </cfRule>
    <cfRule type="containsText" dxfId="100" priority="4" stopIfTrue="1" operator="containsText" text="Medium">
      <formula>NOT(ISERROR(SEARCH("Medium",N6)))</formula>
    </cfRule>
  </conditionalFormatting>
  <conditionalFormatting sqref="N6:N43">
    <cfRule type="containsText" dxfId="99" priority="1" stopIfTrue="1" operator="containsText" text=" &quot; &quot;">
      <formula>NOT(ISERROR(SEARCH(" "" """,N6)))</formula>
    </cfRule>
  </conditionalFormatting>
  <dataValidations count="3">
    <dataValidation type="list" allowBlank="1" showInputMessage="1" showErrorMessage="1" sqref="O6:O43 B6:B43" xr:uid="{00000000-0002-0000-0100-000000000000}">
      <formula1>$C$45:$C$46</formula1>
    </dataValidation>
    <dataValidation type="list" allowBlank="1" showInputMessage="1" showErrorMessage="1" sqref="Q6:Q43" xr:uid="{00000000-0002-0000-0100-000001000000}">
      <formula1>$F$45:$F$50</formula1>
    </dataValidation>
    <dataValidation type="list" allowBlank="1" showInputMessage="1" showErrorMessage="1" sqref="P6:P43" xr:uid="{00000000-0002-0000-0100-000002000000}">
      <formula1>$D$44:$D$47</formula1>
    </dataValidation>
  </dataValidations>
  <pageMargins left="0.7" right="0.7" top="0.75" bottom="0.75" header="0.3" footer="0.3"/>
  <pageSetup orientation="portrait" r:id="rId1"/>
  <ignoredErrors>
    <ignoredError sqref="N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F384"/>
  <sheetViews>
    <sheetView workbookViewId="0">
      <selection activeCell="G19" sqref="G19"/>
    </sheetView>
  </sheetViews>
  <sheetFormatPr baseColWidth="10" defaultColWidth="9.1640625" defaultRowHeight="14" x14ac:dyDescent="0.15"/>
  <cols>
    <col min="1" max="1" width="15.1640625" style="55" customWidth="1"/>
    <col min="2" max="2" width="16" style="55" customWidth="1"/>
    <col min="3" max="3" width="42.1640625" style="56" customWidth="1"/>
    <col min="4" max="4" width="12.83203125" style="56" bestFit="1" customWidth="1"/>
    <col min="5" max="5" width="20.5" style="59" bestFit="1" customWidth="1"/>
    <col min="6" max="6" width="19.5" style="56" customWidth="1"/>
    <col min="7" max="7" width="24" style="59" bestFit="1" customWidth="1"/>
    <col min="8" max="8" width="16.6640625" style="57" customWidth="1"/>
    <col min="9" max="11" width="13.1640625" style="57" customWidth="1"/>
    <col min="12" max="12" width="13.83203125" style="58" customWidth="1"/>
    <col min="13" max="13" width="22.1640625" style="56" customWidth="1"/>
    <col min="14" max="14" width="11.5" style="56" customWidth="1"/>
    <col min="15" max="15" width="11" style="59" customWidth="1"/>
    <col min="16" max="16" width="9.33203125" style="59" customWidth="1"/>
    <col min="17" max="17" width="9.6640625" style="59" bestFit="1" customWidth="1"/>
    <col min="18" max="18" width="35.1640625" style="56" bestFit="1" customWidth="1"/>
    <col min="19" max="19" width="35.5" style="55" bestFit="1" customWidth="1"/>
    <col min="20" max="20" width="19.6640625" style="62" customWidth="1"/>
    <col min="21" max="16384" width="9.1640625" style="55"/>
  </cols>
  <sheetData>
    <row r="1" spans="1:58" ht="81.5" customHeight="1" x14ac:dyDescent="0.15"/>
    <row r="2" spans="1:58" s="265" customFormat="1" x14ac:dyDescent="0.15">
      <c r="A2" s="286" t="s">
        <v>144</v>
      </c>
      <c r="C2" s="266"/>
      <c r="D2" s="266"/>
      <c r="E2" s="269"/>
      <c r="F2" s="266"/>
      <c r="G2" s="269"/>
      <c r="H2" s="267"/>
      <c r="I2" s="267"/>
      <c r="J2" s="267"/>
      <c r="K2" s="267"/>
      <c r="L2" s="268"/>
      <c r="M2" s="266"/>
      <c r="N2" s="266"/>
      <c r="O2" s="269"/>
      <c r="P2" s="269"/>
      <c r="Q2" s="269"/>
      <c r="R2" s="266"/>
      <c r="S2" s="266"/>
      <c r="T2" s="271"/>
    </row>
    <row r="3" spans="1:58" s="289" customFormat="1" x14ac:dyDescent="0.15">
      <c r="A3" s="286" t="s">
        <v>45</v>
      </c>
      <c r="B3" s="287"/>
      <c r="C3" s="305" t="s">
        <v>145</v>
      </c>
      <c r="D3" s="305"/>
      <c r="E3" s="303"/>
      <c r="F3" s="302"/>
      <c r="G3" s="305" t="s">
        <v>146</v>
      </c>
      <c r="H3" s="303"/>
      <c r="I3" s="303"/>
      <c r="J3" s="303"/>
      <c r="K3" s="303"/>
      <c r="L3" s="304"/>
      <c r="M3" s="290"/>
      <c r="N3" s="288"/>
      <c r="O3" s="291"/>
      <c r="P3" s="291"/>
      <c r="Q3" s="291"/>
      <c r="R3" s="288"/>
      <c r="S3" s="288"/>
      <c r="T3" s="293"/>
    </row>
    <row r="4" spans="1:58" ht="15" thickBot="1" x14ac:dyDescent="0.2">
      <c r="S4" s="56"/>
      <c r="T4" s="56"/>
    </row>
    <row r="5" spans="1:58" ht="38" thickBot="1" x14ac:dyDescent="0.2">
      <c r="B5" s="378" t="s">
        <v>143</v>
      </c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295"/>
      <c r="N5" s="296"/>
      <c r="O5" s="296"/>
      <c r="P5" s="296"/>
      <c r="Q5" s="296"/>
      <c r="R5" s="295"/>
      <c r="S5" s="56"/>
      <c r="T5" s="55"/>
    </row>
    <row r="6" spans="1:58" ht="29.25" customHeight="1" thickBot="1" x14ac:dyDescent="0.2">
      <c r="B6" s="272"/>
      <c r="C6" s="381" t="s">
        <v>157</v>
      </c>
      <c r="D6" s="382"/>
      <c r="E6" s="382"/>
      <c r="F6" s="382"/>
      <c r="G6" s="382"/>
      <c r="H6" s="383" t="s">
        <v>151</v>
      </c>
      <c r="I6" s="384"/>
      <c r="J6" s="384"/>
      <c r="K6" s="384"/>
      <c r="L6" s="384"/>
      <c r="M6" s="385"/>
      <c r="N6" s="449" t="s">
        <v>174</v>
      </c>
      <c r="O6" s="450"/>
      <c r="P6" s="450"/>
      <c r="Q6" s="451"/>
      <c r="R6" s="297"/>
      <c r="S6" s="56"/>
      <c r="T6" s="55"/>
    </row>
    <row r="7" spans="1:58" s="77" customFormat="1" ht="86" thickBot="1" x14ac:dyDescent="0.25">
      <c r="A7" s="64" t="s">
        <v>50</v>
      </c>
      <c r="B7" s="298" t="s">
        <v>147</v>
      </c>
      <c r="C7" s="65" t="s">
        <v>177</v>
      </c>
      <c r="D7" s="309" t="s">
        <v>164</v>
      </c>
      <c r="E7" s="309" t="s">
        <v>163</v>
      </c>
      <c r="F7" s="66" t="s">
        <v>179</v>
      </c>
      <c r="G7" s="67" t="s">
        <v>162</v>
      </c>
      <c r="H7" s="307" t="s">
        <v>165</v>
      </c>
      <c r="I7" s="335" t="s">
        <v>170</v>
      </c>
      <c r="J7" s="335" t="s">
        <v>158</v>
      </c>
      <c r="K7" s="335" t="s">
        <v>171</v>
      </c>
      <c r="L7" s="308" t="s">
        <v>172</v>
      </c>
      <c r="M7" s="339" t="s">
        <v>173</v>
      </c>
      <c r="N7" s="345" t="s">
        <v>55</v>
      </c>
      <c r="O7" s="72" t="s">
        <v>175</v>
      </c>
      <c r="P7" s="72" t="s">
        <v>176</v>
      </c>
      <c r="Q7" s="75" t="s">
        <v>127</v>
      </c>
      <c r="R7" s="76" t="s">
        <v>71</v>
      </c>
    </row>
    <row r="8" spans="1:58" s="91" customFormat="1" ht="18.5" customHeight="1" x14ac:dyDescent="0.2">
      <c r="A8" s="77">
        <v>1</v>
      </c>
      <c r="B8" s="388" t="s">
        <v>159</v>
      </c>
      <c r="C8" s="78" t="s">
        <v>152</v>
      </c>
      <c r="D8" s="310"/>
      <c r="E8" s="319">
        <v>100</v>
      </c>
      <c r="F8" s="79" t="s">
        <v>150</v>
      </c>
      <c r="G8" s="273" t="s">
        <v>161</v>
      </c>
      <c r="H8" s="80"/>
      <c r="I8" s="83"/>
      <c r="J8" s="83"/>
      <c r="K8" s="83"/>
      <c r="L8" s="84"/>
      <c r="M8" s="330"/>
      <c r="N8" s="80"/>
      <c r="O8" s="84"/>
      <c r="P8" s="84"/>
      <c r="Q8" s="350" t="s">
        <v>128</v>
      </c>
      <c r="R8" s="90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</row>
    <row r="9" spans="1:58" s="91" customFormat="1" ht="18.5" customHeight="1" x14ac:dyDescent="0.2">
      <c r="A9" s="77">
        <v>2</v>
      </c>
      <c r="B9" s="389"/>
      <c r="C9" s="92" t="s">
        <v>152</v>
      </c>
      <c r="D9" s="311"/>
      <c r="E9" s="320">
        <v>200</v>
      </c>
      <c r="F9" s="93" t="s">
        <v>150</v>
      </c>
      <c r="G9" s="274" t="s">
        <v>161</v>
      </c>
      <c r="H9" s="94"/>
      <c r="I9" s="97"/>
      <c r="J9" s="97"/>
      <c r="K9" s="97"/>
      <c r="L9" s="98"/>
      <c r="M9" s="340"/>
      <c r="N9" s="94"/>
      <c r="O9" s="98"/>
      <c r="P9" s="98"/>
      <c r="Q9" s="351"/>
      <c r="R9" s="104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</row>
    <row r="10" spans="1:58" s="91" customFormat="1" ht="18.5" customHeight="1" x14ac:dyDescent="0.2">
      <c r="A10" s="77">
        <v>3</v>
      </c>
      <c r="B10" s="389"/>
      <c r="C10" s="92" t="s">
        <v>152</v>
      </c>
      <c r="D10" s="311"/>
      <c r="E10" s="320">
        <v>500</v>
      </c>
      <c r="F10" s="93" t="s">
        <v>153</v>
      </c>
      <c r="G10" s="274" t="s">
        <v>156</v>
      </c>
      <c r="H10" s="94"/>
      <c r="I10" s="97"/>
      <c r="J10" s="97"/>
      <c r="K10" s="97"/>
      <c r="L10" s="98"/>
      <c r="M10" s="340"/>
      <c r="N10" s="94"/>
      <c r="O10" s="98"/>
      <c r="P10" s="98"/>
      <c r="Q10" s="351"/>
      <c r="R10" s="104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</row>
    <row r="11" spans="1:58" s="91" customFormat="1" ht="18.5" customHeight="1" x14ac:dyDescent="0.2">
      <c r="A11" s="77">
        <v>4</v>
      </c>
      <c r="B11" s="390"/>
      <c r="C11" s="105"/>
      <c r="D11" s="312"/>
      <c r="E11" s="321"/>
      <c r="F11" s="106"/>
      <c r="G11" s="275"/>
      <c r="H11" s="94"/>
      <c r="I11" s="97"/>
      <c r="J11" s="97"/>
      <c r="K11" s="97"/>
      <c r="L11" s="98"/>
      <c r="M11" s="340"/>
      <c r="N11" s="94"/>
      <c r="O11" s="98"/>
      <c r="P11" s="98"/>
      <c r="Q11" s="351"/>
      <c r="R11" s="104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</row>
    <row r="12" spans="1:58" s="91" customFormat="1" ht="18.5" customHeight="1" thickBot="1" x14ac:dyDescent="0.25">
      <c r="A12" s="77">
        <v>5</v>
      </c>
      <c r="B12" s="391"/>
      <c r="C12" s="107"/>
      <c r="D12" s="313"/>
      <c r="E12" s="322"/>
      <c r="F12" s="108"/>
      <c r="G12" s="276"/>
      <c r="H12" s="109"/>
      <c r="I12" s="336"/>
      <c r="J12" s="336"/>
      <c r="K12" s="336"/>
      <c r="L12" s="332"/>
      <c r="M12" s="341"/>
      <c r="N12" s="163"/>
      <c r="O12" s="114"/>
      <c r="P12" s="114"/>
      <c r="Q12" s="352"/>
      <c r="R12" s="120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</row>
    <row r="13" spans="1:58" s="91" customFormat="1" ht="18.5" customHeight="1" x14ac:dyDescent="0.2">
      <c r="A13" s="77">
        <v>6</v>
      </c>
      <c r="B13" s="392" t="s">
        <v>160</v>
      </c>
      <c r="C13" s="121" t="s">
        <v>178</v>
      </c>
      <c r="D13" s="314"/>
      <c r="E13" s="323"/>
      <c r="F13" s="122"/>
      <c r="G13" s="277"/>
      <c r="H13" s="123"/>
      <c r="I13" s="175"/>
      <c r="J13" s="175"/>
      <c r="K13" s="175"/>
      <c r="L13" s="176"/>
      <c r="M13" s="331"/>
      <c r="N13" s="134"/>
      <c r="O13" s="128"/>
      <c r="P13" s="128"/>
      <c r="Q13" s="353"/>
      <c r="R13" s="133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</row>
    <row r="14" spans="1:58" s="91" customFormat="1" ht="18.5" customHeight="1" x14ac:dyDescent="0.2">
      <c r="A14" s="77">
        <v>7</v>
      </c>
      <c r="B14" s="392"/>
      <c r="C14" s="121"/>
      <c r="D14" s="314"/>
      <c r="E14" s="323"/>
      <c r="F14" s="122"/>
      <c r="G14" s="277"/>
      <c r="H14" s="134"/>
      <c r="I14" s="127"/>
      <c r="J14" s="127"/>
      <c r="K14" s="127"/>
      <c r="L14" s="128"/>
      <c r="M14" s="126"/>
      <c r="N14" s="134"/>
      <c r="O14" s="128"/>
      <c r="P14" s="138"/>
      <c r="Q14" s="354"/>
      <c r="R14" s="133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</row>
    <row r="15" spans="1:58" s="91" customFormat="1" ht="18.5" customHeight="1" x14ac:dyDescent="0.2">
      <c r="A15" s="77">
        <v>8</v>
      </c>
      <c r="B15" s="392"/>
      <c r="C15" s="121"/>
      <c r="D15" s="314"/>
      <c r="E15" s="323"/>
      <c r="F15" s="122"/>
      <c r="G15" s="277"/>
      <c r="H15" s="134"/>
      <c r="I15" s="127"/>
      <c r="J15" s="127"/>
      <c r="K15" s="127"/>
      <c r="L15" s="128"/>
      <c r="M15" s="126"/>
      <c r="N15" s="134"/>
      <c r="O15" s="128"/>
      <c r="P15" s="128"/>
      <c r="Q15" s="353"/>
      <c r="R15" s="133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</row>
    <row r="16" spans="1:58" s="91" customFormat="1" ht="18.5" customHeight="1" x14ac:dyDescent="0.2">
      <c r="A16" s="77">
        <v>9</v>
      </c>
      <c r="B16" s="392"/>
      <c r="C16" s="121"/>
      <c r="D16" s="314"/>
      <c r="E16" s="323"/>
      <c r="F16" s="122"/>
      <c r="G16" s="277"/>
      <c r="H16" s="134"/>
      <c r="I16" s="127"/>
      <c r="J16" s="127"/>
      <c r="K16" s="127"/>
      <c r="L16" s="128"/>
      <c r="M16" s="126"/>
      <c r="N16" s="134"/>
      <c r="O16" s="128"/>
      <c r="P16" s="138"/>
      <c r="Q16" s="354"/>
      <c r="R16" s="133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</row>
    <row r="17" spans="1:58" s="91" customFormat="1" ht="18.5" customHeight="1" thickBot="1" x14ac:dyDescent="0.25">
      <c r="A17" s="77">
        <v>10</v>
      </c>
      <c r="B17" s="393"/>
      <c r="C17" s="139"/>
      <c r="D17" s="315"/>
      <c r="E17" s="324"/>
      <c r="F17" s="140"/>
      <c r="G17" s="278"/>
      <c r="H17" s="141"/>
      <c r="I17" s="337"/>
      <c r="J17" s="337"/>
      <c r="K17" s="337"/>
      <c r="L17" s="333"/>
      <c r="M17" s="342"/>
      <c r="N17" s="346"/>
      <c r="O17" s="146"/>
      <c r="P17" s="146"/>
      <c r="Q17" s="355"/>
      <c r="R17" s="152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</row>
    <row r="18" spans="1:58" ht="18.5" customHeight="1" x14ac:dyDescent="0.2">
      <c r="A18" s="77">
        <v>11</v>
      </c>
      <c r="B18" s="394" t="s">
        <v>166</v>
      </c>
      <c r="C18" s="153" t="s">
        <v>167</v>
      </c>
      <c r="D18" s="316"/>
      <c r="E18" s="325"/>
      <c r="F18" s="79"/>
      <c r="G18" s="275"/>
      <c r="H18" s="80"/>
      <c r="I18" s="83"/>
      <c r="J18" s="83"/>
      <c r="K18" s="83"/>
      <c r="L18" s="84"/>
      <c r="M18" s="330"/>
      <c r="N18" s="80"/>
      <c r="O18" s="84"/>
      <c r="P18" s="84"/>
      <c r="Q18" s="350"/>
      <c r="R18" s="90"/>
      <c r="T18" s="55"/>
    </row>
    <row r="19" spans="1:58" ht="18.5" customHeight="1" x14ac:dyDescent="0.2">
      <c r="A19" s="77">
        <v>12</v>
      </c>
      <c r="B19" s="395"/>
      <c r="C19" s="105" t="s">
        <v>168</v>
      </c>
      <c r="D19" s="312"/>
      <c r="E19" s="321"/>
      <c r="F19" s="106"/>
      <c r="G19" s="275"/>
      <c r="H19" s="94"/>
      <c r="I19" s="97"/>
      <c r="J19" s="97"/>
      <c r="K19" s="97"/>
      <c r="L19" s="98"/>
      <c r="M19" s="340"/>
      <c r="N19" s="347"/>
      <c r="O19" s="156"/>
      <c r="P19" s="156"/>
      <c r="Q19" s="356"/>
      <c r="R19" s="162"/>
      <c r="T19" s="55"/>
    </row>
    <row r="20" spans="1:58" ht="18.5" customHeight="1" thickBot="1" x14ac:dyDescent="0.25">
      <c r="A20" s="77">
        <v>13</v>
      </c>
      <c r="B20" s="395"/>
      <c r="C20" s="105" t="s">
        <v>169</v>
      </c>
      <c r="D20" s="312"/>
      <c r="E20" s="321"/>
      <c r="F20" s="106"/>
      <c r="G20" s="275"/>
      <c r="H20" s="163"/>
      <c r="I20" s="113"/>
      <c r="J20" s="113"/>
      <c r="K20" s="113"/>
      <c r="L20" s="114"/>
      <c r="M20" s="343"/>
      <c r="N20" s="348"/>
      <c r="O20" s="166"/>
      <c r="P20" s="167"/>
      <c r="Q20" s="357"/>
      <c r="R20" s="171"/>
      <c r="T20" s="55"/>
    </row>
    <row r="21" spans="1:58" s="91" customFormat="1" ht="18.5" customHeight="1" x14ac:dyDescent="0.15">
      <c r="A21" s="77">
        <v>14</v>
      </c>
      <c r="B21" s="396"/>
      <c r="C21" s="172"/>
      <c r="D21" s="317"/>
      <c r="E21" s="326"/>
      <c r="F21" s="173"/>
      <c r="G21" s="279"/>
      <c r="H21" s="134"/>
      <c r="I21" s="127"/>
      <c r="J21" s="127"/>
      <c r="K21" s="127"/>
      <c r="L21" s="128"/>
      <c r="M21" s="126"/>
      <c r="N21" s="123"/>
      <c r="O21" s="176"/>
      <c r="P21" s="176"/>
      <c r="Q21" s="358"/>
      <c r="R21" s="180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</row>
    <row r="22" spans="1:58" s="91" customFormat="1" ht="18.5" customHeight="1" x14ac:dyDescent="0.2">
      <c r="A22" s="77">
        <v>15</v>
      </c>
      <c r="B22" s="392"/>
      <c r="C22" s="181"/>
      <c r="D22" s="318"/>
      <c r="E22" s="327"/>
      <c r="F22" s="182"/>
      <c r="G22" s="280"/>
      <c r="H22" s="134"/>
      <c r="I22" s="127"/>
      <c r="J22" s="127"/>
      <c r="K22" s="127"/>
      <c r="L22" s="128"/>
      <c r="M22" s="126"/>
      <c r="N22" s="349"/>
      <c r="O22" s="184"/>
      <c r="P22" s="184"/>
      <c r="Q22" s="359"/>
      <c r="R22" s="187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</row>
    <row r="23" spans="1:58" s="91" customFormat="1" ht="18.5" customHeight="1" x14ac:dyDescent="0.2">
      <c r="A23" s="77">
        <v>16</v>
      </c>
      <c r="B23" s="392"/>
      <c r="C23" s="181"/>
      <c r="D23" s="318"/>
      <c r="E23" s="327"/>
      <c r="F23" s="182"/>
      <c r="G23" s="280"/>
      <c r="H23" s="134"/>
      <c r="I23" s="127"/>
      <c r="J23" s="127"/>
      <c r="K23" s="127"/>
      <c r="L23" s="128"/>
      <c r="M23" s="126"/>
      <c r="N23" s="349"/>
      <c r="O23" s="184"/>
      <c r="P23" s="184"/>
      <c r="Q23" s="359"/>
      <c r="R23" s="187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</row>
    <row r="24" spans="1:58" s="91" customFormat="1" ht="18.5" customHeight="1" x14ac:dyDescent="0.2">
      <c r="A24" s="77">
        <v>17</v>
      </c>
      <c r="B24" s="392"/>
      <c r="C24" s="181"/>
      <c r="D24" s="318"/>
      <c r="E24" s="327"/>
      <c r="F24" s="182"/>
      <c r="G24" s="280"/>
      <c r="H24" s="134"/>
      <c r="I24" s="127"/>
      <c r="J24" s="127"/>
      <c r="K24" s="127"/>
      <c r="L24" s="128"/>
      <c r="M24" s="126"/>
      <c r="N24" s="349"/>
      <c r="O24" s="184"/>
      <c r="P24" s="184"/>
      <c r="Q24" s="359"/>
      <c r="R24" s="187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</row>
    <row r="25" spans="1:58" s="91" customFormat="1" ht="18.5" customHeight="1" x14ac:dyDescent="0.2">
      <c r="A25" s="77">
        <v>18</v>
      </c>
      <c r="B25" s="392"/>
      <c r="C25" s="181"/>
      <c r="D25" s="318"/>
      <c r="E25" s="327"/>
      <c r="F25" s="182"/>
      <c r="G25" s="280"/>
      <c r="H25" s="134"/>
      <c r="I25" s="127"/>
      <c r="J25" s="127"/>
      <c r="K25" s="127"/>
      <c r="L25" s="128"/>
      <c r="M25" s="126"/>
      <c r="N25" s="349"/>
      <c r="O25" s="184"/>
      <c r="P25" s="184"/>
      <c r="Q25" s="359"/>
      <c r="R25" s="187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</row>
    <row r="26" spans="1:58" s="91" customFormat="1" ht="18.5" customHeight="1" x14ac:dyDescent="0.2">
      <c r="A26" s="77">
        <v>19</v>
      </c>
      <c r="B26" s="392"/>
      <c r="C26" s="181"/>
      <c r="D26" s="318"/>
      <c r="E26" s="327"/>
      <c r="F26" s="182"/>
      <c r="G26" s="280"/>
      <c r="H26" s="134"/>
      <c r="I26" s="127"/>
      <c r="J26" s="127"/>
      <c r="K26" s="127"/>
      <c r="L26" s="128"/>
      <c r="M26" s="126"/>
      <c r="N26" s="349"/>
      <c r="O26" s="184"/>
      <c r="P26" s="184"/>
      <c r="Q26" s="359"/>
      <c r="R26" s="187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</row>
    <row r="27" spans="1:58" s="91" customFormat="1" ht="18.5" customHeight="1" x14ac:dyDescent="0.2">
      <c r="A27" s="77">
        <v>20</v>
      </c>
      <c r="B27" s="392"/>
      <c r="C27" s="181"/>
      <c r="D27" s="318"/>
      <c r="E27" s="327"/>
      <c r="F27" s="182"/>
      <c r="G27" s="280"/>
      <c r="H27" s="134"/>
      <c r="I27" s="127"/>
      <c r="J27" s="127"/>
      <c r="K27" s="127"/>
      <c r="L27" s="128"/>
      <c r="M27" s="126"/>
      <c r="N27" s="349"/>
      <c r="O27" s="184"/>
      <c r="P27" s="184"/>
      <c r="Q27" s="359"/>
      <c r="R27" s="187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</row>
    <row r="28" spans="1:58" s="91" customFormat="1" ht="18.5" customHeight="1" thickBot="1" x14ac:dyDescent="0.25">
      <c r="A28" s="77">
        <v>21</v>
      </c>
      <c r="B28" s="393"/>
      <c r="C28" s="139"/>
      <c r="D28" s="315"/>
      <c r="E28" s="324"/>
      <c r="F28" s="140"/>
      <c r="G28" s="278"/>
      <c r="H28" s="189"/>
      <c r="I28" s="338"/>
      <c r="J28" s="338"/>
      <c r="K28" s="338"/>
      <c r="L28" s="334"/>
      <c r="M28" s="344"/>
      <c r="N28" s="346"/>
      <c r="O28" s="146"/>
      <c r="P28" s="146"/>
      <c r="Q28" s="355"/>
      <c r="R28" s="152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</row>
    <row r="29" spans="1:58" s="91" customFormat="1" ht="18.5" customHeight="1" x14ac:dyDescent="0.2">
      <c r="A29" s="77">
        <v>22</v>
      </c>
      <c r="B29" s="394"/>
      <c r="C29" s="153"/>
      <c r="D29" s="316"/>
      <c r="E29" s="325"/>
      <c r="F29" s="79"/>
      <c r="G29" s="275"/>
      <c r="H29" s="80"/>
      <c r="I29" s="83"/>
      <c r="J29" s="83"/>
      <c r="K29" s="83"/>
      <c r="L29" s="84"/>
      <c r="M29" s="330"/>
      <c r="N29" s="80"/>
      <c r="O29" s="84"/>
      <c r="P29" s="84"/>
      <c r="Q29" s="350"/>
      <c r="R29" s="90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</row>
    <row r="30" spans="1:58" s="91" customFormat="1" ht="18.5" customHeight="1" x14ac:dyDescent="0.2">
      <c r="A30" s="77">
        <v>23</v>
      </c>
      <c r="B30" s="395"/>
      <c r="C30" s="105"/>
      <c r="D30" s="312"/>
      <c r="E30" s="321"/>
      <c r="F30" s="106"/>
      <c r="G30" s="275"/>
      <c r="H30" s="94"/>
      <c r="I30" s="97"/>
      <c r="J30" s="97"/>
      <c r="K30" s="97"/>
      <c r="L30" s="98"/>
      <c r="M30" s="340"/>
      <c r="N30" s="347"/>
      <c r="O30" s="156"/>
      <c r="P30" s="156"/>
      <c r="Q30" s="356"/>
      <c r="R30" s="162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</row>
    <row r="31" spans="1:58" s="91" customFormat="1" ht="18.5" customHeight="1" thickBot="1" x14ac:dyDescent="0.25">
      <c r="A31" s="77">
        <v>24</v>
      </c>
      <c r="B31" s="395"/>
      <c r="C31" s="105"/>
      <c r="D31" s="312"/>
      <c r="E31" s="321"/>
      <c r="F31" s="106"/>
      <c r="G31" s="275"/>
      <c r="H31" s="163"/>
      <c r="I31" s="113"/>
      <c r="J31" s="113"/>
      <c r="K31" s="113"/>
      <c r="L31" s="114"/>
      <c r="M31" s="343"/>
      <c r="N31" s="348"/>
      <c r="O31" s="166"/>
      <c r="P31" s="167"/>
      <c r="Q31" s="357"/>
      <c r="R31" s="171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</row>
    <row r="32" spans="1:58" ht="18.5" customHeight="1" x14ac:dyDescent="0.15">
      <c r="A32" s="77">
        <v>25</v>
      </c>
      <c r="B32" s="396"/>
      <c r="C32" s="172"/>
      <c r="D32" s="317"/>
      <c r="E32" s="326"/>
      <c r="F32" s="173"/>
      <c r="G32" s="279"/>
      <c r="H32" s="123"/>
      <c r="I32" s="175"/>
      <c r="J32" s="175"/>
      <c r="K32" s="175"/>
      <c r="L32" s="176"/>
      <c r="M32" s="331"/>
      <c r="N32" s="123"/>
      <c r="O32" s="176"/>
      <c r="P32" s="176"/>
      <c r="Q32" s="358"/>
      <c r="R32" s="180"/>
      <c r="T32" s="55"/>
    </row>
    <row r="33" spans="1:20" ht="18.5" customHeight="1" x14ac:dyDescent="0.2">
      <c r="A33" s="77">
        <v>26</v>
      </c>
      <c r="B33" s="392"/>
      <c r="C33" s="181"/>
      <c r="D33" s="318"/>
      <c r="E33" s="327"/>
      <c r="F33" s="182"/>
      <c r="G33" s="280"/>
      <c r="H33" s="134"/>
      <c r="I33" s="127"/>
      <c r="J33" s="127"/>
      <c r="K33" s="127"/>
      <c r="L33" s="128"/>
      <c r="M33" s="126"/>
      <c r="N33" s="349"/>
      <c r="O33" s="184"/>
      <c r="P33" s="184"/>
      <c r="Q33" s="359"/>
      <c r="R33" s="187"/>
      <c r="T33" s="55"/>
    </row>
    <row r="34" spans="1:20" ht="18.5" customHeight="1" x14ac:dyDescent="0.2">
      <c r="A34" s="77">
        <v>27</v>
      </c>
      <c r="B34" s="392"/>
      <c r="C34" s="181"/>
      <c r="D34" s="318"/>
      <c r="E34" s="327"/>
      <c r="F34" s="182"/>
      <c r="G34" s="280"/>
      <c r="H34" s="134"/>
      <c r="I34" s="127"/>
      <c r="J34" s="127"/>
      <c r="K34" s="127"/>
      <c r="L34" s="128"/>
      <c r="M34" s="126"/>
      <c r="N34" s="349"/>
      <c r="O34" s="184"/>
      <c r="P34" s="184"/>
      <c r="Q34" s="359"/>
      <c r="R34" s="187"/>
      <c r="T34" s="55"/>
    </row>
    <row r="35" spans="1:20" ht="18.5" customHeight="1" x14ac:dyDescent="0.2">
      <c r="A35" s="77">
        <v>28</v>
      </c>
      <c r="B35" s="392"/>
      <c r="C35" s="181"/>
      <c r="D35" s="318"/>
      <c r="E35" s="327"/>
      <c r="F35" s="182"/>
      <c r="G35" s="280"/>
      <c r="H35" s="134"/>
      <c r="I35" s="127"/>
      <c r="J35" s="127"/>
      <c r="K35" s="127"/>
      <c r="L35" s="128"/>
      <c r="M35" s="126"/>
      <c r="N35" s="349"/>
      <c r="O35" s="184"/>
      <c r="P35" s="184"/>
      <c r="Q35" s="359"/>
      <c r="R35" s="187"/>
      <c r="T35" s="55"/>
    </row>
    <row r="36" spans="1:20" ht="18.5" customHeight="1" x14ac:dyDescent="0.2">
      <c r="A36" s="77">
        <v>29</v>
      </c>
      <c r="B36" s="392"/>
      <c r="C36" s="181"/>
      <c r="D36" s="318"/>
      <c r="E36" s="327"/>
      <c r="F36" s="182"/>
      <c r="G36" s="280"/>
      <c r="H36" s="134"/>
      <c r="I36" s="127"/>
      <c r="J36" s="127"/>
      <c r="K36" s="127"/>
      <c r="L36" s="128"/>
      <c r="M36" s="126"/>
      <c r="N36" s="349"/>
      <c r="O36" s="184"/>
      <c r="P36" s="184"/>
      <c r="Q36" s="359"/>
      <c r="R36" s="187"/>
      <c r="T36" s="55"/>
    </row>
    <row r="37" spans="1:20" ht="18.5" customHeight="1" x14ac:dyDescent="0.2">
      <c r="A37" s="77">
        <v>30</v>
      </c>
      <c r="B37" s="392"/>
      <c r="C37" s="181"/>
      <c r="D37" s="318"/>
      <c r="E37" s="327"/>
      <c r="F37" s="182"/>
      <c r="G37" s="280"/>
      <c r="H37" s="134"/>
      <c r="I37" s="127"/>
      <c r="J37" s="127"/>
      <c r="K37" s="127"/>
      <c r="L37" s="128"/>
      <c r="M37" s="126"/>
      <c r="N37" s="349"/>
      <c r="O37" s="184"/>
      <c r="P37" s="184"/>
      <c r="Q37" s="359"/>
      <c r="R37" s="187"/>
      <c r="T37" s="55"/>
    </row>
    <row r="38" spans="1:20" ht="18.5" customHeight="1" thickBot="1" x14ac:dyDescent="0.25">
      <c r="A38" s="77">
        <v>31</v>
      </c>
      <c r="B38" s="393"/>
      <c r="C38" s="139"/>
      <c r="D38" s="315"/>
      <c r="E38" s="324"/>
      <c r="F38" s="140"/>
      <c r="G38" s="278"/>
      <c r="H38" s="141"/>
      <c r="I38" s="337"/>
      <c r="J38" s="337"/>
      <c r="K38" s="337"/>
      <c r="L38" s="333"/>
      <c r="M38" s="342"/>
      <c r="N38" s="346"/>
      <c r="O38" s="146"/>
      <c r="P38" s="146"/>
      <c r="Q38" s="355"/>
      <c r="R38" s="152"/>
      <c r="T38" s="55"/>
    </row>
    <row r="39" spans="1:20" x14ac:dyDescent="0.15">
      <c r="B39" s="192" t="s">
        <v>120</v>
      </c>
    </row>
    <row r="40" spans="1:20" x14ac:dyDescent="0.15">
      <c r="A40" s="193"/>
      <c r="B40" s="193"/>
      <c r="C40" s="62"/>
      <c r="D40" s="62"/>
      <c r="F40" s="62"/>
      <c r="M40" s="62"/>
      <c r="N40" s="62"/>
      <c r="R40" s="62"/>
    </row>
    <row r="41" spans="1:20" x14ac:dyDescent="0.15">
      <c r="C41" s="55"/>
      <c r="D41" s="55"/>
      <c r="E41" s="249"/>
      <c r="F41" s="55"/>
      <c r="G41" s="249"/>
      <c r="H41" s="60"/>
      <c r="I41" s="60"/>
      <c r="J41" s="60"/>
      <c r="K41" s="60"/>
      <c r="M41" s="55"/>
      <c r="N41" s="55"/>
      <c r="O41" s="249"/>
    </row>
    <row r="42" spans="1:20" ht="15" x14ac:dyDescent="0.15">
      <c r="C42" s="250" t="s">
        <v>148</v>
      </c>
      <c r="D42" s="250"/>
      <c r="E42" s="328"/>
      <c r="F42" s="251"/>
      <c r="G42" s="283"/>
      <c r="H42" s="252"/>
      <c r="I42" s="252"/>
      <c r="J42" s="252"/>
      <c r="K42" s="252"/>
      <c r="M42" s="55"/>
      <c r="N42" s="55"/>
      <c r="O42" s="249"/>
      <c r="R42" s="55"/>
      <c r="T42" s="55"/>
    </row>
    <row r="43" spans="1:20" x14ac:dyDescent="0.15">
      <c r="C43" s="253" t="s">
        <v>154</v>
      </c>
      <c r="D43" s="253"/>
      <c r="E43" s="329"/>
      <c r="M43" s="55"/>
      <c r="N43" s="55"/>
      <c r="O43" s="249"/>
      <c r="R43" s="55"/>
      <c r="T43" s="55"/>
    </row>
    <row r="44" spans="1:20" x14ac:dyDescent="0.15">
      <c r="C44" s="253" t="s">
        <v>155</v>
      </c>
      <c r="D44" s="253"/>
      <c r="E44" s="329"/>
      <c r="M44" s="55"/>
      <c r="N44" s="55"/>
      <c r="O44" s="249"/>
      <c r="R44" s="55"/>
      <c r="T44" s="55"/>
    </row>
    <row r="45" spans="1:20" x14ac:dyDescent="0.15">
      <c r="C45" s="253" t="s">
        <v>161</v>
      </c>
      <c r="D45" s="253"/>
      <c r="E45" s="329"/>
      <c r="M45" s="55"/>
      <c r="N45" s="55"/>
      <c r="O45" s="249"/>
      <c r="R45" s="55"/>
      <c r="T45" s="55"/>
    </row>
    <row r="46" spans="1:20" x14ac:dyDescent="0.15">
      <c r="C46" s="253" t="s">
        <v>156</v>
      </c>
      <c r="D46" s="253"/>
      <c r="E46" s="329"/>
      <c r="M46" s="55"/>
      <c r="N46" s="55"/>
      <c r="O46" s="249"/>
      <c r="R46" s="55"/>
      <c r="T46" s="55"/>
    </row>
    <row r="47" spans="1:20" x14ac:dyDescent="0.15">
      <c r="C47" s="253" t="s">
        <v>149</v>
      </c>
      <c r="D47" s="253"/>
      <c r="E47" s="329"/>
      <c r="M47" s="55"/>
      <c r="N47" s="55"/>
      <c r="O47" s="249"/>
      <c r="R47" s="55"/>
      <c r="T47" s="55"/>
    </row>
    <row r="48" spans="1:20" ht="15" x14ac:dyDescent="0.15">
      <c r="C48" s="250" t="s">
        <v>127</v>
      </c>
      <c r="D48" s="250"/>
      <c r="E48" s="328"/>
      <c r="F48" s="251"/>
      <c r="G48" s="283"/>
      <c r="H48" s="252"/>
      <c r="I48" s="252"/>
      <c r="J48" s="252"/>
      <c r="K48" s="252"/>
      <c r="R48" s="55"/>
      <c r="T48" s="55"/>
    </row>
    <row r="49" spans="3:20" x14ac:dyDescent="0.15">
      <c r="C49" s="257" t="s">
        <v>128</v>
      </c>
      <c r="D49" s="257"/>
      <c r="E49" s="284"/>
      <c r="F49" s="257"/>
      <c r="G49" s="284"/>
      <c r="R49" s="55"/>
      <c r="T49" s="55"/>
    </row>
    <row r="50" spans="3:20" x14ac:dyDescent="0.15">
      <c r="C50" s="257" t="s">
        <v>129</v>
      </c>
      <c r="D50" s="257"/>
      <c r="E50" s="284"/>
      <c r="F50" s="257"/>
      <c r="G50" s="284"/>
      <c r="R50" s="55"/>
      <c r="T50" s="55"/>
    </row>
    <row r="51" spans="3:20" x14ac:dyDescent="0.15">
      <c r="C51" s="259" t="s">
        <v>130</v>
      </c>
      <c r="D51" s="259"/>
      <c r="E51" s="285"/>
      <c r="F51" s="259"/>
      <c r="G51" s="285"/>
      <c r="R51" s="55"/>
      <c r="T51" s="55"/>
    </row>
    <row r="52" spans="3:20" x14ac:dyDescent="0.15">
      <c r="C52" s="257" t="s">
        <v>131</v>
      </c>
      <c r="D52" s="257"/>
      <c r="E52" s="284"/>
      <c r="F52" s="257"/>
      <c r="G52" s="284"/>
      <c r="R52" s="55"/>
      <c r="T52" s="55"/>
    </row>
    <row r="53" spans="3:20" x14ac:dyDescent="0.15">
      <c r="R53" s="55"/>
      <c r="T53" s="55"/>
    </row>
    <row r="54" spans="3:20" x14ac:dyDescent="0.15">
      <c r="R54" s="55"/>
      <c r="T54" s="55"/>
    </row>
    <row r="55" spans="3:20" x14ac:dyDescent="0.15">
      <c r="R55" s="55"/>
      <c r="T55" s="55"/>
    </row>
    <row r="56" spans="3:20" x14ac:dyDescent="0.15">
      <c r="R56" s="55"/>
      <c r="T56" s="55"/>
    </row>
    <row r="57" spans="3:20" x14ac:dyDescent="0.15">
      <c r="R57" s="55"/>
      <c r="T57" s="55"/>
    </row>
    <row r="58" spans="3:20" x14ac:dyDescent="0.15">
      <c r="R58" s="55"/>
      <c r="T58" s="55"/>
    </row>
    <row r="59" spans="3:20" x14ac:dyDescent="0.15">
      <c r="R59" s="55"/>
      <c r="T59" s="55"/>
    </row>
    <row r="60" spans="3:20" x14ac:dyDescent="0.15">
      <c r="R60" s="55"/>
      <c r="T60" s="55"/>
    </row>
    <row r="61" spans="3:20" x14ac:dyDescent="0.15">
      <c r="R61" s="55"/>
      <c r="T61" s="55"/>
    </row>
    <row r="62" spans="3:20" x14ac:dyDescent="0.15">
      <c r="R62" s="55"/>
      <c r="T62" s="55"/>
    </row>
    <row r="63" spans="3:20" x14ac:dyDescent="0.15">
      <c r="R63" s="55"/>
      <c r="T63" s="55"/>
    </row>
    <row r="64" spans="3:20" x14ac:dyDescent="0.15">
      <c r="C64" s="55"/>
      <c r="D64" s="55"/>
      <c r="E64" s="249"/>
      <c r="F64" s="55"/>
      <c r="G64" s="249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T64" s="55"/>
    </row>
    <row r="65" spans="3:20" x14ac:dyDescent="0.15">
      <c r="C65" s="55"/>
      <c r="D65" s="55"/>
      <c r="E65" s="249"/>
      <c r="F65" s="55"/>
      <c r="G65" s="249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T65" s="55"/>
    </row>
    <row r="66" spans="3:20" x14ac:dyDescent="0.15">
      <c r="C66" s="55"/>
      <c r="D66" s="55"/>
      <c r="E66" s="249"/>
      <c r="F66" s="55"/>
      <c r="G66" s="249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T66" s="55"/>
    </row>
    <row r="67" spans="3:20" x14ac:dyDescent="0.15">
      <c r="C67" s="55"/>
      <c r="D67" s="55"/>
      <c r="E67" s="249"/>
      <c r="F67" s="55"/>
      <c r="G67" s="249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T67" s="55"/>
    </row>
    <row r="68" spans="3:20" x14ac:dyDescent="0.15">
      <c r="C68" s="55"/>
      <c r="D68" s="55"/>
      <c r="E68" s="249"/>
      <c r="F68" s="55"/>
      <c r="G68" s="249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T68" s="55"/>
    </row>
    <row r="69" spans="3:20" x14ac:dyDescent="0.15">
      <c r="C69" s="55"/>
      <c r="D69" s="55"/>
      <c r="E69" s="249"/>
      <c r="F69" s="55"/>
      <c r="G69" s="249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T69" s="55"/>
    </row>
    <row r="70" spans="3:20" x14ac:dyDescent="0.15">
      <c r="C70" s="55"/>
      <c r="D70" s="55"/>
      <c r="E70" s="249"/>
      <c r="F70" s="55"/>
      <c r="G70" s="249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T70" s="55"/>
    </row>
    <row r="71" spans="3:20" x14ac:dyDescent="0.15">
      <c r="C71" s="55"/>
      <c r="D71" s="55"/>
      <c r="E71" s="249"/>
      <c r="F71" s="55"/>
      <c r="G71" s="249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T71" s="55"/>
    </row>
    <row r="72" spans="3:20" x14ac:dyDescent="0.15">
      <c r="C72" s="55"/>
      <c r="D72" s="55"/>
      <c r="E72" s="249"/>
      <c r="F72" s="55"/>
      <c r="G72" s="249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T72" s="55"/>
    </row>
    <row r="73" spans="3:20" x14ac:dyDescent="0.15">
      <c r="C73" s="55"/>
      <c r="D73" s="55"/>
      <c r="E73" s="249"/>
      <c r="F73" s="55"/>
      <c r="G73" s="249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T73" s="55"/>
    </row>
    <row r="74" spans="3:20" x14ac:dyDescent="0.15">
      <c r="C74" s="55"/>
      <c r="D74" s="55"/>
      <c r="E74" s="249"/>
      <c r="F74" s="55"/>
      <c r="G74" s="249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T74" s="55"/>
    </row>
    <row r="75" spans="3:20" x14ac:dyDescent="0.15">
      <c r="C75" s="55"/>
      <c r="D75" s="55"/>
      <c r="E75" s="249"/>
      <c r="F75" s="55"/>
      <c r="G75" s="249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T75" s="55"/>
    </row>
    <row r="76" spans="3:20" x14ac:dyDescent="0.15">
      <c r="C76" s="55"/>
      <c r="D76" s="55"/>
      <c r="E76" s="249"/>
      <c r="F76" s="55"/>
      <c r="G76" s="249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T76" s="55"/>
    </row>
    <row r="77" spans="3:20" x14ac:dyDescent="0.15">
      <c r="C77" s="55"/>
      <c r="D77" s="55"/>
      <c r="E77" s="249"/>
      <c r="F77" s="55"/>
      <c r="G77" s="249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T77" s="55"/>
    </row>
    <row r="78" spans="3:20" x14ac:dyDescent="0.15">
      <c r="C78" s="55"/>
      <c r="D78" s="55"/>
      <c r="E78" s="249"/>
      <c r="F78" s="55"/>
      <c r="G78" s="249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T78" s="55"/>
    </row>
    <row r="79" spans="3:20" x14ac:dyDescent="0.15">
      <c r="C79" s="55"/>
      <c r="D79" s="55"/>
      <c r="E79" s="249"/>
      <c r="F79" s="55"/>
      <c r="G79" s="249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T79" s="55"/>
    </row>
    <row r="80" spans="3:20" x14ac:dyDescent="0.15">
      <c r="T80" s="55"/>
    </row>
    <row r="81" spans="3:20" x14ac:dyDescent="0.15">
      <c r="T81" s="55"/>
    </row>
    <row r="82" spans="3:20" x14ac:dyDescent="0.15">
      <c r="T82" s="55"/>
    </row>
    <row r="83" spans="3:20" x14ac:dyDescent="0.15">
      <c r="T83" s="55"/>
    </row>
    <row r="84" spans="3:20" x14ac:dyDescent="0.15">
      <c r="T84" s="55"/>
    </row>
    <row r="85" spans="3:20" x14ac:dyDescent="0.15">
      <c r="T85" s="55"/>
    </row>
    <row r="86" spans="3:20" x14ac:dyDescent="0.15">
      <c r="T86" s="55"/>
    </row>
    <row r="87" spans="3:20" x14ac:dyDescent="0.15">
      <c r="T87" s="55"/>
    </row>
    <row r="88" spans="3:20" x14ac:dyDescent="0.15">
      <c r="T88" s="55"/>
    </row>
    <row r="89" spans="3:20" x14ac:dyDescent="0.15">
      <c r="T89" s="55"/>
    </row>
    <row r="90" spans="3:20" x14ac:dyDescent="0.15">
      <c r="T90" s="55"/>
    </row>
    <row r="91" spans="3:20" x14ac:dyDescent="0.15">
      <c r="C91" s="260"/>
      <c r="D91" s="260"/>
      <c r="E91" s="263"/>
      <c r="F91" s="260"/>
      <c r="G91" s="263"/>
      <c r="H91" s="261"/>
      <c r="I91" s="261"/>
      <c r="J91" s="261"/>
      <c r="K91" s="261"/>
      <c r="L91" s="262"/>
      <c r="M91" s="260"/>
      <c r="N91" s="260"/>
      <c r="O91" s="263"/>
      <c r="P91" s="263"/>
      <c r="Q91" s="263"/>
      <c r="R91" s="260"/>
      <c r="T91" s="55"/>
    </row>
    <row r="92" spans="3:20" x14ac:dyDescent="0.15">
      <c r="C92" s="260"/>
      <c r="D92" s="260"/>
      <c r="E92" s="263"/>
      <c r="F92" s="260"/>
      <c r="G92" s="263"/>
      <c r="H92" s="261"/>
      <c r="I92" s="261"/>
      <c r="J92" s="261"/>
      <c r="K92" s="261"/>
      <c r="L92" s="262"/>
      <c r="M92" s="260"/>
      <c r="N92" s="260"/>
      <c r="O92" s="263"/>
      <c r="P92" s="263"/>
      <c r="Q92" s="263"/>
      <c r="R92" s="260"/>
      <c r="T92" s="55"/>
    </row>
    <row r="93" spans="3:20" x14ac:dyDescent="0.15">
      <c r="C93" s="260"/>
      <c r="D93" s="260"/>
      <c r="E93" s="263"/>
      <c r="F93" s="260"/>
      <c r="G93" s="263"/>
      <c r="H93" s="261"/>
      <c r="I93" s="261"/>
      <c r="J93" s="261"/>
      <c r="K93" s="261"/>
      <c r="L93" s="262"/>
      <c r="M93" s="260"/>
      <c r="N93" s="260"/>
      <c r="O93" s="263"/>
      <c r="P93" s="263"/>
      <c r="Q93" s="263"/>
      <c r="R93" s="260"/>
      <c r="T93" s="55"/>
    </row>
    <row r="94" spans="3:20" x14ac:dyDescent="0.15">
      <c r="C94" s="260"/>
      <c r="D94" s="260"/>
      <c r="E94" s="263"/>
      <c r="F94" s="260"/>
      <c r="G94" s="263"/>
      <c r="H94" s="261"/>
      <c r="I94" s="261"/>
      <c r="J94" s="261"/>
      <c r="K94" s="261"/>
      <c r="L94" s="262"/>
      <c r="M94" s="260"/>
      <c r="N94" s="260"/>
      <c r="O94" s="263"/>
      <c r="P94" s="263"/>
      <c r="Q94" s="263"/>
      <c r="R94" s="260"/>
      <c r="T94" s="55"/>
    </row>
    <row r="95" spans="3:20" x14ac:dyDescent="0.15">
      <c r="T95" s="55"/>
    </row>
    <row r="96" spans="3:20" x14ac:dyDescent="0.15">
      <c r="C96" s="55"/>
      <c r="D96" s="55"/>
      <c r="E96" s="249"/>
      <c r="F96" s="55"/>
      <c r="G96" s="249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T96" s="55"/>
    </row>
    <row r="97" spans="3:20" x14ac:dyDescent="0.15">
      <c r="C97" s="55"/>
      <c r="D97" s="55"/>
      <c r="E97" s="249"/>
      <c r="F97" s="55"/>
      <c r="G97" s="249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T97" s="55"/>
    </row>
    <row r="98" spans="3:20" x14ac:dyDescent="0.15">
      <c r="C98" s="55"/>
      <c r="D98" s="55"/>
      <c r="E98" s="249"/>
      <c r="F98" s="55"/>
      <c r="G98" s="249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T98" s="55"/>
    </row>
    <row r="99" spans="3:20" x14ac:dyDescent="0.15">
      <c r="C99" s="55"/>
      <c r="D99" s="55"/>
      <c r="E99" s="249"/>
      <c r="F99" s="55"/>
      <c r="G99" s="249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T99" s="55"/>
    </row>
    <row r="100" spans="3:20" x14ac:dyDescent="0.15">
      <c r="C100" s="55"/>
      <c r="D100" s="55"/>
      <c r="E100" s="249"/>
      <c r="F100" s="55"/>
      <c r="G100" s="249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T100" s="55"/>
    </row>
    <row r="101" spans="3:20" x14ac:dyDescent="0.15">
      <c r="C101" s="55"/>
      <c r="D101" s="55"/>
      <c r="E101" s="249"/>
      <c r="F101" s="55"/>
      <c r="G101" s="249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T101" s="55"/>
    </row>
    <row r="102" spans="3:20" x14ac:dyDescent="0.15">
      <c r="C102" s="55"/>
      <c r="D102" s="55"/>
      <c r="E102" s="249"/>
      <c r="F102" s="55"/>
      <c r="G102" s="249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T102" s="55"/>
    </row>
    <row r="103" spans="3:20" x14ac:dyDescent="0.15">
      <c r="C103" s="55"/>
      <c r="D103" s="55"/>
      <c r="E103" s="249"/>
      <c r="F103" s="55"/>
      <c r="G103" s="249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T103" s="55"/>
    </row>
    <row r="104" spans="3:20" x14ac:dyDescent="0.15">
      <c r="C104" s="55"/>
      <c r="D104" s="55"/>
      <c r="E104" s="249"/>
      <c r="F104" s="55"/>
      <c r="G104" s="249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T104" s="55"/>
    </row>
    <row r="105" spans="3:20" x14ac:dyDescent="0.15">
      <c r="C105" s="55"/>
      <c r="D105" s="55"/>
      <c r="E105" s="249"/>
      <c r="F105" s="55"/>
      <c r="G105" s="249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T105" s="55"/>
    </row>
    <row r="106" spans="3:20" x14ac:dyDescent="0.15">
      <c r="C106" s="55"/>
      <c r="D106" s="55"/>
      <c r="E106" s="249"/>
      <c r="F106" s="55"/>
      <c r="G106" s="249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T106" s="55"/>
    </row>
    <row r="107" spans="3:20" x14ac:dyDescent="0.15">
      <c r="C107" s="55"/>
      <c r="D107" s="55"/>
      <c r="E107" s="249"/>
      <c r="F107" s="55"/>
      <c r="G107" s="249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T107" s="55"/>
    </row>
    <row r="108" spans="3:20" x14ac:dyDescent="0.15">
      <c r="C108" s="55"/>
      <c r="D108" s="55"/>
      <c r="E108" s="249"/>
      <c r="F108" s="55"/>
      <c r="G108" s="249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T108" s="55"/>
    </row>
    <row r="109" spans="3:20" x14ac:dyDescent="0.15">
      <c r="C109" s="55"/>
      <c r="D109" s="55"/>
      <c r="E109" s="249"/>
      <c r="F109" s="55"/>
      <c r="G109" s="249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T109" s="55"/>
    </row>
    <row r="110" spans="3:20" x14ac:dyDescent="0.15">
      <c r="C110" s="55"/>
      <c r="D110" s="55"/>
      <c r="E110" s="249"/>
      <c r="F110" s="55"/>
      <c r="G110" s="249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T110" s="55"/>
    </row>
    <row r="111" spans="3:20" x14ac:dyDescent="0.15">
      <c r="C111" s="55"/>
      <c r="D111" s="55"/>
      <c r="E111" s="249"/>
      <c r="F111" s="55"/>
      <c r="G111" s="249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T111" s="55"/>
    </row>
    <row r="112" spans="3:20" x14ac:dyDescent="0.15">
      <c r="C112" s="55"/>
      <c r="D112" s="55"/>
      <c r="E112" s="249"/>
      <c r="F112" s="55"/>
      <c r="G112" s="249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T112" s="55"/>
    </row>
    <row r="113" spans="3:20" x14ac:dyDescent="0.15">
      <c r="C113" s="55"/>
      <c r="D113" s="55"/>
      <c r="E113" s="249"/>
      <c r="F113" s="55"/>
      <c r="G113" s="249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T113" s="55"/>
    </row>
    <row r="114" spans="3:20" x14ac:dyDescent="0.15">
      <c r="C114" s="55"/>
      <c r="D114" s="55"/>
      <c r="E114" s="249"/>
      <c r="F114" s="55"/>
      <c r="G114" s="249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T114" s="55"/>
    </row>
    <row r="115" spans="3:20" x14ac:dyDescent="0.15">
      <c r="C115" s="55"/>
      <c r="D115" s="55"/>
      <c r="E115" s="249"/>
      <c r="F115" s="55"/>
      <c r="G115" s="249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T115" s="55"/>
    </row>
    <row r="116" spans="3:20" x14ac:dyDescent="0.15">
      <c r="C116" s="55"/>
      <c r="D116" s="55"/>
      <c r="E116" s="249"/>
      <c r="F116" s="55"/>
      <c r="G116" s="249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T116" s="55"/>
    </row>
    <row r="117" spans="3:20" x14ac:dyDescent="0.15">
      <c r="C117" s="55"/>
      <c r="D117" s="55"/>
      <c r="E117" s="249"/>
      <c r="F117" s="55"/>
      <c r="G117" s="249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T117" s="55"/>
    </row>
    <row r="118" spans="3:20" x14ac:dyDescent="0.15">
      <c r="C118" s="55"/>
      <c r="D118" s="55"/>
      <c r="E118" s="249"/>
      <c r="F118" s="55"/>
      <c r="G118" s="249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T118" s="55"/>
    </row>
    <row r="119" spans="3:20" x14ac:dyDescent="0.15">
      <c r="C119" s="55"/>
      <c r="D119" s="55"/>
      <c r="E119" s="249"/>
      <c r="F119" s="55"/>
      <c r="G119" s="249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T119" s="55"/>
    </row>
    <row r="120" spans="3:20" x14ac:dyDescent="0.15">
      <c r="C120" s="55"/>
      <c r="D120" s="55"/>
      <c r="E120" s="249"/>
      <c r="F120" s="55"/>
      <c r="G120" s="249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T120" s="55"/>
    </row>
    <row r="121" spans="3:20" x14ac:dyDescent="0.15">
      <c r="C121" s="55"/>
      <c r="D121" s="55"/>
      <c r="E121" s="249"/>
      <c r="F121" s="55"/>
      <c r="G121" s="249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T121" s="55"/>
    </row>
    <row r="122" spans="3:20" x14ac:dyDescent="0.15">
      <c r="C122" s="55"/>
      <c r="D122" s="55"/>
      <c r="E122" s="249"/>
      <c r="F122" s="55"/>
      <c r="G122" s="249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T122" s="55"/>
    </row>
    <row r="123" spans="3:20" x14ac:dyDescent="0.15">
      <c r="C123" s="55"/>
      <c r="D123" s="55"/>
      <c r="E123" s="249"/>
      <c r="F123" s="55"/>
      <c r="G123" s="249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T123" s="55"/>
    </row>
    <row r="124" spans="3:20" x14ac:dyDescent="0.15">
      <c r="C124" s="55"/>
      <c r="D124" s="55"/>
      <c r="E124" s="249"/>
      <c r="F124" s="55"/>
      <c r="G124" s="249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T124" s="55"/>
    </row>
    <row r="125" spans="3:20" x14ac:dyDescent="0.15">
      <c r="C125" s="55"/>
      <c r="D125" s="55"/>
      <c r="E125" s="249"/>
      <c r="F125" s="55"/>
      <c r="G125" s="249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T125" s="55"/>
    </row>
    <row r="126" spans="3:20" x14ac:dyDescent="0.15">
      <c r="C126" s="55"/>
      <c r="D126" s="55"/>
      <c r="E126" s="249"/>
      <c r="F126" s="55"/>
      <c r="G126" s="249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T126" s="55"/>
    </row>
    <row r="127" spans="3:20" x14ac:dyDescent="0.15">
      <c r="C127" s="55"/>
      <c r="D127" s="55"/>
      <c r="E127" s="249"/>
      <c r="F127" s="55"/>
      <c r="G127" s="249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T127" s="55"/>
    </row>
    <row r="128" spans="3:20" x14ac:dyDescent="0.15">
      <c r="C128" s="55"/>
      <c r="D128" s="55"/>
      <c r="E128" s="249"/>
      <c r="F128" s="55"/>
      <c r="G128" s="249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T128" s="55"/>
    </row>
    <row r="129" spans="3:20" x14ac:dyDescent="0.15">
      <c r="C129" s="55"/>
      <c r="D129" s="55"/>
      <c r="E129" s="249"/>
      <c r="F129" s="55"/>
      <c r="G129" s="249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T129" s="55"/>
    </row>
    <row r="130" spans="3:20" x14ac:dyDescent="0.15">
      <c r="C130" s="55"/>
      <c r="D130" s="55"/>
      <c r="E130" s="249"/>
      <c r="F130" s="55"/>
      <c r="G130" s="249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T130" s="55"/>
    </row>
    <row r="131" spans="3:20" x14ac:dyDescent="0.15">
      <c r="C131" s="55"/>
      <c r="D131" s="55"/>
      <c r="E131" s="249"/>
      <c r="F131" s="55"/>
      <c r="G131" s="249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T131" s="55"/>
    </row>
    <row r="132" spans="3:20" x14ac:dyDescent="0.15">
      <c r="C132" s="55"/>
      <c r="D132" s="55"/>
      <c r="E132" s="249"/>
      <c r="F132" s="55"/>
      <c r="G132" s="249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T132" s="55"/>
    </row>
    <row r="133" spans="3:20" x14ac:dyDescent="0.15">
      <c r="C133" s="55"/>
      <c r="D133" s="55"/>
      <c r="E133" s="249"/>
      <c r="F133" s="55"/>
      <c r="G133" s="249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T133" s="55"/>
    </row>
    <row r="134" spans="3:20" x14ac:dyDescent="0.15">
      <c r="C134" s="55"/>
      <c r="D134" s="55"/>
      <c r="E134" s="249"/>
      <c r="F134" s="55"/>
      <c r="G134" s="249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T134" s="55"/>
    </row>
    <row r="135" spans="3:20" x14ac:dyDescent="0.15">
      <c r="C135" s="55"/>
      <c r="D135" s="55"/>
      <c r="E135" s="249"/>
      <c r="F135" s="55"/>
      <c r="G135" s="249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T135" s="55"/>
    </row>
    <row r="136" spans="3:20" x14ac:dyDescent="0.15">
      <c r="C136" s="55"/>
      <c r="D136" s="55"/>
      <c r="E136" s="249"/>
      <c r="F136" s="55"/>
      <c r="G136" s="249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T136" s="55"/>
    </row>
    <row r="137" spans="3:20" x14ac:dyDescent="0.15">
      <c r="C137" s="55"/>
      <c r="D137" s="55"/>
      <c r="E137" s="249"/>
      <c r="F137" s="55"/>
      <c r="G137" s="249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T137" s="55"/>
    </row>
    <row r="138" spans="3:20" x14ac:dyDescent="0.15">
      <c r="C138" s="55"/>
      <c r="D138" s="55"/>
      <c r="E138" s="249"/>
      <c r="F138" s="55"/>
      <c r="G138" s="249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T138" s="55"/>
    </row>
    <row r="139" spans="3:20" x14ac:dyDescent="0.15">
      <c r="C139" s="55"/>
      <c r="D139" s="55"/>
      <c r="E139" s="249"/>
      <c r="F139" s="55"/>
      <c r="G139" s="249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T139" s="55"/>
    </row>
    <row r="140" spans="3:20" x14ac:dyDescent="0.15">
      <c r="C140" s="55"/>
      <c r="D140" s="55"/>
      <c r="E140" s="249"/>
      <c r="F140" s="55"/>
      <c r="G140" s="249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T140" s="55"/>
    </row>
    <row r="141" spans="3:20" x14ac:dyDescent="0.15">
      <c r="C141" s="55"/>
      <c r="D141" s="55"/>
      <c r="E141" s="249"/>
      <c r="F141" s="55"/>
      <c r="G141" s="249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T141" s="55"/>
    </row>
    <row r="142" spans="3:20" x14ac:dyDescent="0.15">
      <c r="C142" s="55"/>
      <c r="D142" s="55"/>
      <c r="E142" s="249"/>
      <c r="F142" s="55"/>
      <c r="G142" s="249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T142" s="55"/>
    </row>
    <row r="143" spans="3:20" x14ac:dyDescent="0.15">
      <c r="C143" s="55"/>
      <c r="D143" s="55"/>
      <c r="E143" s="249"/>
      <c r="F143" s="55"/>
      <c r="G143" s="249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T143" s="55"/>
    </row>
    <row r="144" spans="3:20" x14ac:dyDescent="0.15">
      <c r="C144" s="55"/>
      <c r="D144" s="55"/>
      <c r="E144" s="249"/>
      <c r="F144" s="55"/>
      <c r="G144" s="249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T144" s="55"/>
    </row>
    <row r="145" spans="3:20" x14ac:dyDescent="0.15">
      <c r="C145" s="55"/>
      <c r="D145" s="55"/>
      <c r="E145" s="249"/>
      <c r="F145" s="55"/>
      <c r="G145" s="249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T145" s="55"/>
    </row>
    <row r="146" spans="3:20" x14ac:dyDescent="0.15">
      <c r="C146" s="55"/>
      <c r="D146" s="55"/>
      <c r="E146" s="249"/>
      <c r="F146" s="55"/>
      <c r="G146" s="249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T146" s="55"/>
    </row>
    <row r="147" spans="3:20" x14ac:dyDescent="0.15">
      <c r="C147" s="55"/>
      <c r="D147" s="55"/>
      <c r="E147" s="249"/>
      <c r="F147" s="55"/>
      <c r="G147" s="249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T147" s="55"/>
    </row>
    <row r="148" spans="3:20" x14ac:dyDescent="0.15">
      <c r="C148" s="55"/>
      <c r="D148" s="55"/>
      <c r="E148" s="249"/>
      <c r="F148" s="55"/>
      <c r="G148" s="249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T148" s="55"/>
    </row>
    <row r="149" spans="3:20" x14ac:dyDescent="0.15">
      <c r="C149" s="55"/>
      <c r="D149" s="55"/>
      <c r="E149" s="249"/>
      <c r="F149" s="55"/>
      <c r="G149" s="249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T149" s="55"/>
    </row>
    <row r="150" spans="3:20" x14ac:dyDescent="0.15">
      <c r="C150" s="55"/>
      <c r="D150" s="55"/>
      <c r="E150" s="249"/>
      <c r="F150" s="55"/>
      <c r="G150" s="249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T150" s="55"/>
    </row>
    <row r="151" spans="3:20" x14ac:dyDescent="0.15">
      <c r="C151" s="55"/>
      <c r="D151" s="55"/>
      <c r="E151" s="249"/>
      <c r="F151" s="55"/>
      <c r="G151" s="249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T151" s="55"/>
    </row>
    <row r="152" spans="3:20" x14ac:dyDescent="0.15">
      <c r="C152" s="55"/>
      <c r="D152" s="55"/>
      <c r="E152" s="249"/>
      <c r="F152" s="55"/>
      <c r="G152" s="249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T152" s="55"/>
    </row>
    <row r="153" spans="3:20" x14ac:dyDescent="0.15">
      <c r="C153" s="55"/>
      <c r="D153" s="55"/>
      <c r="E153" s="249"/>
      <c r="F153" s="55"/>
      <c r="G153" s="249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T153" s="55"/>
    </row>
    <row r="154" spans="3:20" x14ac:dyDescent="0.15">
      <c r="C154" s="55"/>
      <c r="D154" s="55"/>
      <c r="E154" s="249"/>
      <c r="F154" s="55"/>
      <c r="G154" s="249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T154" s="55"/>
    </row>
    <row r="155" spans="3:20" x14ac:dyDescent="0.15">
      <c r="C155" s="55"/>
      <c r="D155" s="55"/>
      <c r="E155" s="249"/>
      <c r="F155" s="55"/>
      <c r="G155" s="249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T155" s="55"/>
    </row>
    <row r="156" spans="3:20" x14ac:dyDescent="0.15">
      <c r="C156" s="55"/>
      <c r="D156" s="55"/>
      <c r="E156" s="249"/>
      <c r="F156" s="55"/>
      <c r="G156" s="249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T156" s="55"/>
    </row>
    <row r="157" spans="3:20" x14ac:dyDescent="0.15">
      <c r="C157" s="55"/>
      <c r="D157" s="55"/>
      <c r="E157" s="249"/>
      <c r="F157" s="55"/>
      <c r="G157" s="249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T157" s="55"/>
    </row>
    <row r="158" spans="3:20" x14ac:dyDescent="0.15">
      <c r="C158" s="55"/>
      <c r="D158" s="55"/>
      <c r="E158" s="249"/>
      <c r="F158" s="55"/>
      <c r="G158" s="249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T158" s="55"/>
    </row>
    <row r="159" spans="3:20" x14ac:dyDescent="0.15">
      <c r="C159" s="55"/>
      <c r="D159" s="55"/>
      <c r="E159" s="249"/>
      <c r="F159" s="55"/>
      <c r="G159" s="249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T159" s="55"/>
    </row>
    <row r="160" spans="3:20" x14ac:dyDescent="0.15">
      <c r="C160" s="55"/>
      <c r="D160" s="55"/>
      <c r="E160" s="249"/>
      <c r="F160" s="55"/>
      <c r="G160" s="249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T160" s="55"/>
    </row>
    <row r="161" spans="3:20" x14ac:dyDescent="0.15">
      <c r="C161" s="55"/>
      <c r="D161" s="55"/>
      <c r="E161" s="249"/>
      <c r="F161" s="55"/>
      <c r="G161" s="249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T161" s="55"/>
    </row>
    <row r="162" spans="3:20" x14ac:dyDescent="0.15">
      <c r="C162" s="55"/>
      <c r="D162" s="55"/>
      <c r="E162" s="249"/>
      <c r="F162" s="55"/>
      <c r="G162" s="249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T162" s="55"/>
    </row>
    <row r="163" spans="3:20" x14ac:dyDescent="0.15">
      <c r="C163" s="55"/>
      <c r="D163" s="55"/>
      <c r="E163" s="249"/>
      <c r="F163" s="55"/>
      <c r="G163" s="249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T163" s="55"/>
    </row>
    <row r="164" spans="3:20" x14ac:dyDescent="0.15">
      <c r="C164" s="55"/>
      <c r="D164" s="55"/>
      <c r="E164" s="249"/>
      <c r="F164" s="55"/>
      <c r="G164" s="249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T164" s="55"/>
    </row>
    <row r="165" spans="3:20" x14ac:dyDescent="0.15">
      <c r="C165" s="55"/>
      <c r="D165" s="55"/>
      <c r="E165" s="249"/>
      <c r="F165" s="55"/>
      <c r="G165" s="249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T165" s="55"/>
    </row>
    <row r="166" spans="3:20" x14ac:dyDescent="0.15">
      <c r="C166" s="55"/>
      <c r="D166" s="55"/>
      <c r="E166" s="249"/>
      <c r="F166" s="55"/>
      <c r="G166" s="249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T166" s="55"/>
    </row>
    <row r="167" spans="3:20" x14ac:dyDescent="0.15">
      <c r="C167" s="55"/>
      <c r="D167" s="55"/>
      <c r="E167" s="249"/>
      <c r="F167" s="55"/>
      <c r="G167" s="249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T167" s="55"/>
    </row>
    <row r="168" spans="3:20" x14ac:dyDescent="0.15">
      <c r="C168" s="55"/>
      <c r="D168" s="55"/>
      <c r="E168" s="249"/>
      <c r="F168" s="55"/>
      <c r="G168" s="249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T168" s="55"/>
    </row>
    <row r="169" spans="3:20" x14ac:dyDescent="0.15">
      <c r="C169" s="55"/>
      <c r="D169" s="55"/>
      <c r="E169" s="249"/>
      <c r="F169" s="55"/>
      <c r="G169" s="249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T169" s="55"/>
    </row>
    <row r="170" spans="3:20" x14ac:dyDescent="0.15">
      <c r="C170" s="55"/>
      <c r="D170" s="55"/>
      <c r="E170" s="249"/>
      <c r="F170" s="55"/>
      <c r="G170" s="249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T170" s="55"/>
    </row>
    <row r="171" spans="3:20" x14ac:dyDescent="0.15">
      <c r="C171" s="55"/>
      <c r="D171" s="55"/>
      <c r="E171" s="249"/>
      <c r="F171" s="55"/>
      <c r="G171" s="249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T171" s="55"/>
    </row>
    <row r="172" spans="3:20" x14ac:dyDescent="0.15">
      <c r="C172" s="55"/>
      <c r="D172" s="55"/>
      <c r="E172" s="249"/>
      <c r="F172" s="55"/>
      <c r="G172" s="249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T172" s="55"/>
    </row>
    <row r="173" spans="3:20" x14ac:dyDescent="0.15">
      <c r="C173" s="55"/>
      <c r="D173" s="55"/>
      <c r="E173" s="249"/>
      <c r="F173" s="55"/>
      <c r="G173" s="249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T173" s="55"/>
    </row>
    <row r="174" spans="3:20" x14ac:dyDescent="0.15">
      <c r="C174" s="55"/>
      <c r="D174" s="55"/>
      <c r="E174" s="249"/>
      <c r="F174" s="55"/>
      <c r="G174" s="249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T174" s="55"/>
    </row>
    <row r="175" spans="3:20" x14ac:dyDescent="0.15">
      <c r="C175" s="55"/>
      <c r="D175" s="55"/>
      <c r="E175" s="249"/>
      <c r="F175" s="55"/>
      <c r="G175" s="249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T175" s="55"/>
    </row>
    <row r="176" spans="3:20" x14ac:dyDescent="0.15">
      <c r="C176" s="55"/>
      <c r="D176" s="55"/>
      <c r="E176" s="249"/>
      <c r="F176" s="55"/>
      <c r="G176" s="249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T176" s="55"/>
    </row>
    <row r="177" spans="3:20" x14ac:dyDescent="0.15">
      <c r="C177" s="55"/>
      <c r="D177" s="55"/>
      <c r="E177" s="249"/>
      <c r="F177" s="55"/>
      <c r="G177" s="249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T177" s="55"/>
    </row>
    <row r="178" spans="3:20" x14ac:dyDescent="0.15">
      <c r="C178" s="55"/>
      <c r="D178" s="55"/>
      <c r="E178" s="249"/>
      <c r="F178" s="55"/>
      <c r="G178" s="249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T178" s="55"/>
    </row>
    <row r="179" spans="3:20" x14ac:dyDescent="0.15">
      <c r="C179" s="55"/>
      <c r="D179" s="55"/>
      <c r="E179" s="249"/>
      <c r="F179" s="55"/>
      <c r="G179" s="249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T179" s="55"/>
    </row>
    <row r="180" spans="3:20" x14ac:dyDescent="0.15">
      <c r="C180" s="55"/>
      <c r="D180" s="55"/>
      <c r="E180" s="249"/>
      <c r="F180" s="55"/>
      <c r="G180" s="249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T180" s="55"/>
    </row>
    <row r="181" spans="3:20" x14ac:dyDescent="0.15">
      <c r="C181" s="55"/>
      <c r="D181" s="55"/>
      <c r="E181" s="249"/>
      <c r="F181" s="55"/>
      <c r="G181" s="249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T181" s="55"/>
    </row>
    <row r="182" spans="3:20" x14ac:dyDescent="0.15">
      <c r="C182" s="55"/>
      <c r="D182" s="55"/>
      <c r="E182" s="249"/>
      <c r="F182" s="55"/>
      <c r="G182" s="249"/>
      <c r="H182" s="55"/>
      <c r="I182" s="55"/>
      <c r="J182" s="55"/>
      <c r="K182" s="55"/>
      <c r="L182" s="55"/>
      <c r="M182" s="55"/>
      <c r="N182" s="55"/>
      <c r="O182" s="55"/>
      <c r="P182" s="55"/>
      <c r="Q182" s="55"/>
      <c r="R182" s="55"/>
      <c r="T182" s="55"/>
    </row>
    <row r="183" spans="3:20" x14ac:dyDescent="0.15">
      <c r="C183" s="55"/>
      <c r="D183" s="55"/>
      <c r="E183" s="249"/>
      <c r="F183" s="55"/>
      <c r="G183" s="249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T183" s="55"/>
    </row>
    <row r="184" spans="3:20" x14ac:dyDescent="0.15">
      <c r="C184" s="55"/>
      <c r="D184" s="55"/>
      <c r="E184" s="249"/>
      <c r="F184" s="55"/>
      <c r="G184" s="249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T184" s="55"/>
    </row>
    <row r="185" spans="3:20" x14ac:dyDescent="0.15">
      <c r="C185" s="55"/>
      <c r="D185" s="55"/>
      <c r="E185" s="249"/>
      <c r="F185" s="55"/>
      <c r="G185" s="249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T185" s="55"/>
    </row>
    <row r="186" spans="3:20" x14ac:dyDescent="0.15">
      <c r="C186" s="55"/>
      <c r="D186" s="55"/>
      <c r="E186" s="249"/>
      <c r="F186" s="55"/>
      <c r="G186" s="249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T186" s="55"/>
    </row>
    <row r="187" spans="3:20" x14ac:dyDescent="0.15">
      <c r="C187" s="55"/>
      <c r="D187" s="55"/>
      <c r="E187" s="249"/>
      <c r="F187" s="55"/>
      <c r="G187" s="249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T187" s="55"/>
    </row>
    <row r="188" spans="3:20" x14ac:dyDescent="0.15">
      <c r="C188" s="55"/>
      <c r="D188" s="55"/>
      <c r="E188" s="249"/>
      <c r="F188" s="55"/>
      <c r="G188" s="249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T188" s="55"/>
    </row>
    <row r="189" spans="3:20" x14ac:dyDescent="0.15">
      <c r="C189" s="55"/>
      <c r="D189" s="55"/>
      <c r="E189" s="249"/>
      <c r="F189" s="55"/>
      <c r="G189" s="249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T189" s="55"/>
    </row>
    <row r="190" spans="3:20" x14ac:dyDescent="0.15">
      <c r="C190" s="55"/>
      <c r="D190" s="55"/>
      <c r="E190" s="249"/>
      <c r="F190" s="55"/>
      <c r="G190" s="249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T190" s="55"/>
    </row>
    <row r="191" spans="3:20" x14ac:dyDescent="0.15">
      <c r="C191" s="55"/>
      <c r="D191" s="55"/>
      <c r="E191" s="249"/>
      <c r="F191" s="55"/>
      <c r="G191" s="249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T191" s="55"/>
    </row>
    <row r="192" spans="3:20" x14ac:dyDescent="0.15">
      <c r="C192" s="55"/>
      <c r="D192" s="55"/>
      <c r="E192" s="249"/>
      <c r="F192" s="55"/>
      <c r="G192" s="249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T192" s="55"/>
    </row>
    <row r="193" spans="3:20" x14ac:dyDescent="0.15">
      <c r="C193" s="55"/>
      <c r="D193" s="55"/>
      <c r="E193" s="249"/>
      <c r="F193" s="55"/>
      <c r="G193" s="249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T193" s="55"/>
    </row>
    <row r="194" spans="3:20" x14ac:dyDescent="0.15">
      <c r="C194" s="55"/>
      <c r="D194" s="55"/>
      <c r="E194" s="249"/>
      <c r="F194" s="55"/>
      <c r="G194" s="249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T194" s="55"/>
    </row>
    <row r="195" spans="3:20" x14ac:dyDescent="0.15">
      <c r="C195" s="55"/>
      <c r="D195" s="55"/>
      <c r="E195" s="249"/>
      <c r="F195" s="55"/>
      <c r="G195" s="249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T195" s="55"/>
    </row>
    <row r="196" spans="3:20" x14ac:dyDescent="0.15">
      <c r="C196" s="55"/>
      <c r="D196" s="55"/>
      <c r="E196" s="249"/>
      <c r="F196" s="55"/>
      <c r="G196" s="249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T196" s="55"/>
    </row>
    <row r="197" spans="3:20" x14ac:dyDescent="0.15">
      <c r="C197" s="55"/>
      <c r="D197" s="55"/>
      <c r="E197" s="249"/>
      <c r="F197" s="55"/>
      <c r="G197" s="249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T197" s="55"/>
    </row>
    <row r="198" spans="3:20" x14ac:dyDescent="0.15">
      <c r="C198" s="55"/>
      <c r="D198" s="55"/>
      <c r="E198" s="249"/>
      <c r="F198" s="55"/>
      <c r="G198" s="249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T198" s="55"/>
    </row>
    <row r="199" spans="3:20" x14ac:dyDescent="0.15">
      <c r="C199" s="55"/>
      <c r="D199" s="55"/>
      <c r="E199" s="249"/>
      <c r="F199" s="55"/>
      <c r="G199" s="249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T199" s="55"/>
    </row>
    <row r="200" spans="3:20" x14ac:dyDescent="0.15">
      <c r="C200" s="55"/>
      <c r="D200" s="55"/>
      <c r="E200" s="249"/>
      <c r="F200" s="55"/>
      <c r="G200" s="249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T200" s="55"/>
    </row>
    <row r="201" spans="3:20" x14ac:dyDescent="0.15">
      <c r="C201" s="55"/>
      <c r="D201" s="55"/>
      <c r="E201" s="249"/>
      <c r="F201" s="55"/>
      <c r="G201" s="249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T201" s="55"/>
    </row>
    <row r="202" spans="3:20" x14ac:dyDescent="0.15">
      <c r="C202" s="55"/>
      <c r="D202" s="55"/>
      <c r="E202" s="249"/>
      <c r="F202" s="55"/>
      <c r="G202" s="249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T202" s="55"/>
    </row>
    <row r="203" spans="3:20" x14ac:dyDescent="0.15">
      <c r="C203" s="55"/>
      <c r="D203" s="55"/>
      <c r="E203" s="249"/>
      <c r="F203" s="55"/>
      <c r="G203" s="249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T203" s="55"/>
    </row>
    <row r="204" spans="3:20" x14ac:dyDescent="0.15">
      <c r="C204" s="55"/>
      <c r="D204" s="55"/>
      <c r="E204" s="249"/>
      <c r="F204" s="55"/>
      <c r="G204" s="249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T204" s="55"/>
    </row>
    <row r="205" spans="3:20" x14ac:dyDescent="0.15">
      <c r="C205" s="55"/>
      <c r="D205" s="55"/>
      <c r="E205" s="249"/>
      <c r="F205" s="55"/>
      <c r="G205" s="249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T205" s="55"/>
    </row>
    <row r="206" spans="3:20" x14ac:dyDescent="0.15">
      <c r="C206" s="55"/>
      <c r="D206" s="55"/>
      <c r="E206" s="249"/>
      <c r="F206" s="55"/>
      <c r="G206" s="249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T206" s="55"/>
    </row>
    <row r="207" spans="3:20" x14ac:dyDescent="0.15">
      <c r="C207" s="55"/>
      <c r="D207" s="55"/>
      <c r="E207" s="249"/>
      <c r="F207" s="55"/>
      <c r="G207" s="249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T207" s="55"/>
    </row>
    <row r="208" spans="3:20" x14ac:dyDescent="0.15">
      <c r="C208" s="55"/>
      <c r="D208" s="55"/>
      <c r="E208" s="249"/>
      <c r="F208" s="55"/>
      <c r="G208" s="249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T208" s="55"/>
    </row>
    <row r="209" spans="3:20" x14ac:dyDescent="0.15">
      <c r="C209" s="55"/>
      <c r="D209" s="55"/>
      <c r="E209" s="249"/>
      <c r="F209" s="55"/>
      <c r="G209" s="249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T209" s="55"/>
    </row>
    <row r="210" spans="3:20" x14ac:dyDescent="0.15">
      <c r="C210" s="55"/>
      <c r="D210" s="55"/>
      <c r="E210" s="249"/>
      <c r="F210" s="55"/>
      <c r="G210" s="249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T210" s="55"/>
    </row>
    <row r="211" spans="3:20" x14ac:dyDescent="0.15">
      <c r="C211" s="55"/>
      <c r="D211" s="55"/>
      <c r="E211" s="249"/>
      <c r="F211" s="55"/>
      <c r="G211" s="249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T211" s="55"/>
    </row>
    <row r="212" spans="3:20" x14ac:dyDescent="0.15">
      <c r="C212" s="55"/>
      <c r="D212" s="55"/>
      <c r="E212" s="249"/>
      <c r="F212" s="55"/>
      <c r="G212" s="249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T212" s="55"/>
    </row>
    <row r="213" spans="3:20" x14ac:dyDescent="0.15">
      <c r="C213" s="55"/>
      <c r="D213" s="55"/>
      <c r="E213" s="249"/>
      <c r="F213" s="55"/>
      <c r="G213" s="249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T213" s="55"/>
    </row>
    <row r="214" spans="3:20" x14ac:dyDescent="0.15">
      <c r="C214" s="55"/>
      <c r="D214" s="55"/>
      <c r="E214" s="249"/>
      <c r="F214" s="55"/>
      <c r="G214" s="249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T214" s="55"/>
    </row>
    <row r="215" spans="3:20" x14ac:dyDescent="0.15">
      <c r="C215" s="55"/>
      <c r="D215" s="55"/>
      <c r="E215" s="249"/>
      <c r="F215" s="55"/>
      <c r="G215" s="249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T215" s="55"/>
    </row>
    <row r="216" spans="3:20" x14ac:dyDescent="0.15">
      <c r="C216" s="55"/>
      <c r="D216" s="55"/>
      <c r="E216" s="249"/>
      <c r="F216" s="55"/>
      <c r="G216" s="249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T216" s="55"/>
    </row>
    <row r="217" spans="3:20" x14ac:dyDescent="0.15">
      <c r="C217" s="55"/>
      <c r="D217" s="55"/>
      <c r="E217" s="249"/>
      <c r="F217" s="55"/>
      <c r="G217" s="249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T217" s="55"/>
    </row>
    <row r="218" spans="3:20" x14ac:dyDescent="0.15">
      <c r="C218" s="55"/>
      <c r="D218" s="55"/>
      <c r="E218" s="249"/>
      <c r="F218" s="55"/>
      <c r="G218" s="249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T218" s="55"/>
    </row>
    <row r="219" spans="3:20" x14ac:dyDescent="0.15">
      <c r="C219" s="55"/>
      <c r="D219" s="55"/>
      <c r="E219" s="249"/>
      <c r="F219" s="55"/>
      <c r="G219" s="249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T219" s="55"/>
    </row>
    <row r="220" spans="3:20" x14ac:dyDescent="0.15">
      <c r="C220" s="55"/>
      <c r="D220" s="55"/>
      <c r="E220" s="249"/>
      <c r="F220" s="55"/>
      <c r="G220" s="249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T220" s="55"/>
    </row>
    <row r="221" spans="3:20" x14ac:dyDescent="0.15">
      <c r="C221" s="55"/>
      <c r="D221" s="55"/>
      <c r="E221" s="249"/>
      <c r="F221" s="55"/>
      <c r="G221" s="249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T221" s="55"/>
    </row>
    <row r="222" spans="3:20" x14ac:dyDescent="0.15">
      <c r="C222" s="55"/>
      <c r="D222" s="55"/>
      <c r="E222" s="249"/>
      <c r="F222" s="55"/>
      <c r="G222" s="249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T222" s="55"/>
    </row>
    <row r="223" spans="3:20" x14ac:dyDescent="0.15">
      <c r="C223" s="55"/>
      <c r="D223" s="55"/>
      <c r="E223" s="249"/>
      <c r="F223" s="55"/>
      <c r="G223" s="249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T223" s="55"/>
    </row>
    <row r="224" spans="3:20" x14ac:dyDescent="0.15">
      <c r="C224" s="55"/>
      <c r="D224" s="55"/>
      <c r="E224" s="249"/>
      <c r="F224" s="55"/>
      <c r="G224" s="249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T224" s="55"/>
    </row>
    <row r="225" spans="3:20" x14ac:dyDescent="0.15">
      <c r="C225" s="55"/>
      <c r="D225" s="55"/>
      <c r="E225" s="249"/>
      <c r="F225" s="55"/>
      <c r="G225" s="249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T225" s="55"/>
    </row>
    <row r="226" spans="3:20" x14ac:dyDescent="0.15">
      <c r="C226" s="55"/>
      <c r="D226" s="55"/>
      <c r="E226" s="249"/>
      <c r="F226" s="55"/>
      <c r="G226" s="249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T226" s="55"/>
    </row>
    <row r="227" spans="3:20" x14ac:dyDescent="0.15">
      <c r="C227" s="55"/>
      <c r="D227" s="55"/>
      <c r="E227" s="249"/>
      <c r="F227" s="55"/>
      <c r="G227" s="249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T227" s="55"/>
    </row>
    <row r="228" spans="3:20" x14ac:dyDescent="0.15">
      <c r="C228" s="55"/>
      <c r="D228" s="55"/>
      <c r="E228" s="249"/>
      <c r="F228" s="55"/>
      <c r="G228" s="249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T228" s="55"/>
    </row>
    <row r="229" spans="3:20" x14ac:dyDescent="0.15">
      <c r="C229" s="55"/>
      <c r="D229" s="55"/>
      <c r="E229" s="249"/>
      <c r="F229" s="55"/>
      <c r="G229" s="249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T229" s="55"/>
    </row>
    <row r="230" spans="3:20" x14ac:dyDescent="0.15">
      <c r="C230" s="55"/>
      <c r="D230" s="55"/>
      <c r="E230" s="249"/>
      <c r="F230" s="55"/>
      <c r="G230" s="249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T230" s="55"/>
    </row>
    <row r="231" spans="3:20" x14ac:dyDescent="0.15">
      <c r="C231" s="55"/>
      <c r="D231" s="55"/>
      <c r="E231" s="249"/>
      <c r="F231" s="55"/>
      <c r="G231" s="249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T231" s="55"/>
    </row>
    <row r="232" spans="3:20" x14ac:dyDescent="0.15">
      <c r="C232" s="55"/>
      <c r="D232" s="55"/>
      <c r="E232" s="249"/>
      <c r="F232" s="55"/>
      <c r="G232" s="249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T232" s="55"/>
    </row>
    <row r="233" spans="3:20" x14ac:dyDescent="0.15">
      <c r="C233" s="55"/>
      <c r="D233" s="55"/>
      <c r="E233" s="249"/>
      <c r="F233" s="55"/>
      <c r="G233" s="249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T233" s="55"/>
    </row>
    <row r="234" spans="3:20" x14ac:dyDescent="0.15">
      <c r="C234" s="55"/>
      <c r="D234" s="55"/>
      <c r="E234" s="249"/>
      <c r="F234" s="55"/>
      <c r="G234" s="249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T234" s="55"/>
    </row>
    <row r="235" spans="3:20" x14ac:dyDescent="0.15">
      <c r="C235" s="55"/>
      <c r="D235" s="55"/>
      <c r="E235" s="249"/>
      <c r="F235" s="55"/>
      <c r="G235" s="249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T235" s="55"/>
    </row>
    <row r="236" spans="3:20" x14ac:dyDescent="0.15">
      <c r="C236" s="55"/>
      <c r="D236" s="55"/>
      <c r="E236" s="249"/>
      <c r="F236" s="55"/>
      <c r="G236" s="249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T236" s="55"/>
    </row>
    <row r="237" spans="3:20" x14ac:dyDescent="0.15">
      <c r="C237" s="55"/>
      <c r="D237" s="55"/>
      <c r="E237" s="249"/>
      <c r="F237" s="55"/>
      <c r="G237" s="249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T237" s="55"/>
    </row>
    <row r="238" spans="3:20" x14ac:dyDescent="0.15">
      <c r="C238" s="55"/>
      <c r="D238" s="55"/>
      <c r="E238" s="249"/>
      <c r="F238" s="55"/>
      <c r="G238" s="249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T238" s="55"/>
    </row>
    <row r="239" spans="3:20" x14ac:dyDescent="0.15">
      <c r="C239" s="55"/>
      <c r="D239" s="55"/>
      <c r="E239" s="249"/>
      <c r="F239" s="55"/>
      <c r="G239" s="249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T239" s="55"/>
    </row>
    <row r="240" spans="3:20" x14ac:dyDescent="0.15">
      <c r="C240" s="55"/>
      <c r="D240" s="55"/>
      <c r="E240" s="249"/>
      <c r="F240" s="55"/>
      <c r="G240" s="249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T240" s="55"/>
    </row>
    <row r="241" spans="3:20" x14ac:dyDescent="0.15">
      <c r="C241" s="55"/>
      <c r="D241" s="55"/>
      <c r="E241" s="249"/>
      <c r="F241" s="55"/>
      <c r="G241" s="249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T241" s="55"/>
    </row>
    <row r="242" spans="3:20" x14ac:dyDescent="0.15">
      <c r="C242" s="55"/>
      <c r="D242" s="55"/>
      <c r="E242" s="249"/>
      <c r="F242" s="55"/>
      <c r="G242" s="249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T242" s="55"/>
    </row>
    <row r="243" spans="3:20" x14ac:dyDescent="0.15">
      <c r="C243" s="55"/>
      <c r="D243" s="55"/>
      <c r="E243" s="249"/>
      <c r="F243" s="55"/>
      <c r="G243" s="249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T243" s="55"/>
    </row>
    <row r="244" spans="3:20" x14ac:dyDescent="0.15">
      <c r="C244" s="55"/>
      <c r="D244" s="55"/>
      <c r="E244" s="249"/>
      <c r="F244" s="55"/>
      <c r="G244" s="249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T244" s="55"/>
    </row>
    <row r="245" spans="3:20" x14ac:dyDescent="0.15">
      <c r="C245" s="55"/>
      <c r="D245" s="55"/>
      <c r="E245" s="249"/>
      <c r="F245" s="55"/>
      <c r="G245" s="249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T245" s="55"/>
    </row>
    <row r="246" spans="3:20" x14ac:dyDescent="0.15">
      <c r="C246" s="55"/>
      <c r="D246" s="55"/>
      <c r="E246" s="249"/>
      <c r="F246" s="55"/>
      <c r="G246" s="249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T246" s="55"/>
    </row>
    <row r="247" spans="3:20" x14ac:dyDescent="0.15">
      <c r="C247" s="55"/>
      <c r="D247" s="55"/>
      <c r="E247" s="249"/>
      <c r="F247" s="55"/>
      <c r="G247" s="249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T247" s="55"/>
    </row>
    <row r="248" spans="3:20" x14ac:dyDescent="0.15">
      <c r="C248" s="55"/>
      <c r="D248" s="55"/>
      <c r="E248" s="249"/>
      <c r="F248" s="55"/>
      <c r="G248" s="249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T248" s="55"/>
    </row>
    <row r="249" spans="3:20" x14ac:dyDescent="0.15">
      <c r="C249" s="55"/>
      <c r="D249" s="55"/>
      <c r="E249" s="249"/>
      <c r="F249" s="55"/>
      <c r="G249" s="249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T249" s="55"/>
    </row>
    <row r="250" spans="3:20" x14ac:dyDescent="0.15">
      <c r="C250" s="55"/>
      <c r="D250" s="55"/>
      <c r="E250" s="249"/>
      <c r="F250" s="55"/>
      <c r="G250" s="249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T250" s="55"/>
    </row>
    <row r="251" spans="3:20" x14ac:dyDescent="0.15">
      <c r="C251" s="55"/>
      <c r="D251" s="55"/>
      <c r="E251" s="249"/>
      <c r="F251" s="55"/>
      <c r="G251" s="249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T251" s="55"/>
    </row>
    <row r="252" spans="3:20" x14ac:dyDescent="0.15">
      <c r="C252" s="55"/>
      <c r="D252" s="55"/>
      <c r="E252" s="249"/>
      <c r="F252" s="55"/>
      <c r="G252" s="249"/>
      <c r="H252" s="55"/>
      <c r="I252" s="55"/>
      <c r="J252" s="55"/>
      <c r="K252" s="55"/>
      <c r="L252" s="55"/>
      <c r="M252" s="55"/>
      <c r="N252" s="55"/>
      <c r="O252" s="55"/>
      <c r="P252" s="55"/>
      <c r="Q252" s="55"/>
      <c r="R252" s="55"/>
      <c r="T252" s="55"/>
    </row>
    <row r="253" spans="3:20" x14ac:dyDescent="0.15">
      <c r="C253" s="55"/>
      <c r="D253" s="55"/>
      <c r="E253" s="249"/>
      <c r="F253" s="55"/>
      <c r="G253" s="249"/>
      <c r="H253" s="55"/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T253" s="55"/>
    </row>
    <row r="254" spans="3:20" x14ac:dyDescent="0.15">
      <c r="C254" s="55"/>
      <c r="D254" s="55"/>
      <c r="E254" s="249"/>
      <c r="F254" s="55"/>
      <c r="G254" s="249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T254" s="55"/>
    </row>
    <row r="255" spans="3:20" x14ac:dyDescent="0.15">
      <c r="C255" s="55"/>
      <c r="D255" s="55"/>
      <c r="E255" s="249"/>
      <c r="F255" s="55"/>
      <c r="G255" s="249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T255" s="55"/>
    </row>
    <row r="256" spans="3:20" x14ac:dyDescent="0.15">
      <c r="C256" s="55"/>
      <c r="D256" s="55"/>
      <c r="E256" s="249"/>
      <c r="F256" s="55"/>
      <c r="G256" s="249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T256" s="55"/>
    </row>
    <row r="257" spans="3:20" x14ac:dyDescent="0.15">
      <c r="C257" s="55"/>
      <c r="D257" s="55"/>
      <c r="E257" s="249"/>
      <c r="F257" s="55"/>
      <c r="G257" s="249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T257" s="55"/>
    </row>
    <row r="258" spans="3:20" x14ac:dyDescent="0.15">
      <c r="C258" s="55"/>
      <c r="D258" s="55"/>
      <c r="E258" s="249"/>
      <c r="F258" s="55"/>
      <c r="G258" s="249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T258" s="55"/>
    </row>
    <row r="259" spans="3:20" x14ac:dyDescent="0.15">
      <c r="C259" s="55"/>
      <c r="D259" s="55"/>
      <c r="E259" s="249"/>
      <c r="F259" s="55"/>
      <c r="G259" s="249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T259" s="55"/>
    </row>
    <row r="260" spans="3:20" x14ac:dyDescent="0.15">
      <c r="C260" s="55"/>
      <c r="D260" s="55"/>
      <c r="E260" s="249"/>
      <c r="F260" s="55"/>
      <c r="G260" s="249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T260" s="55"/>
    </row>
    <row r="261" spans="3:20" x14ac:dyDescent="0.15">
      <c r="C261" s="55"/>
      <c r="D261" s="55"/>
      <c r="E261" s="249"/>
      <c r="F261" s="55"/>
      <c r="G261" s="249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T261" s="55"/>
    </row>
    <row r="262" spans="3:20" x14ac:dyDescent="0.15">
      <c r="C262" s="55"/>
      <c r="D262" s="55"/>
      <c r="E262" s="249"/>
      <c r="F262" s="55"/>
      <c r="G262" s="249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T262" s="55"/>
    </row>
    <row r="263" spans="3:20" x14ac:dyDescent="0.15">
      <c r="C263" s="55"/>
      <c r="D263" s="55"/>
      <c r="E263" s="249"/>
      <c r="F263" s="55"/>
      <c r="G263" s="249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T263" s="55"/>
    </row>
    <row r="264" spans="3:20" x14ac:dyDescent="0.15">
      <c r="C264" s="55"/>
      <c r="D264" s="55"/>
      <c r="E264" s="249"/>
      <c r="F264" s="55"/>
      <c r="G264" s="249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T264" s="55"/>
    </row>
    <row r="265" spans="3:20" x14ac:dyDescent="0.15">
      <c r="C265" s="55"/>
      <c r="D265" s="55"/>
      <c r="E265" s="249"/>
      <c r="F265" s="55"/>
      <c r="G265" s="249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T265" s="55"/>
    </row>
    <row r="266" spans="3:20" x14ac:dyDescent="0.15">
      <c r="C266" s="55"/>
      <c r="D266" s="55"/>
      <c r="E266" s="249"/>
      <c r="F266" s="55"/>
      <c r="G266" s="249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T266" s="55"/>
    </row>
    <row r="267" spans="3:20" x14ac:dyDescent="0.15">
      <c r="C267" s="55"/>
      <c r="D267" s="55"/>
      <c r="E267" s="249"/>
      <c r="F267" s="55"/>
      <c r="G267" s="249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T267" s="55"/>
    </row>
    <row r="268" spans="3:20" x14ac:dyDescent="0.15">
      <c r="C268" s="55"/>
      <c r="D268" s="55"/>
      <c r="E268" s="249"/>
      <c r="F268" s="55"/>
      <c r="G268" s="249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T268" s="55"/>
    </row>
    <row r="269" spans="3:20" x14ac:dyDescent="0.15">
      <c r="C269" s="55"/>
      <c r="D269" s="55"/>
      <c r="E269" s="249"/>
      <c r="F269" s="55"/>
      <c r="G269" s="249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T269" s="55"/>
    </row>
    <row r="270" spans="3:20" x14ac:dyDescent="0.15">
      <c r="C270" s="55"/>
      <c r="D270" s="55"/>
      <c r="E270" s="249"/>
      <c r="F270" s="55"/>
      <c r="G270" s="249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T270" s="55"/>
    </row>
    <row r="271" spans="3:20" x14ac:dyDescent="0.15">
      <c r="C271" s="55"/>
      <c r="D271" s="55"/>
      <c r="E271" s="249"/>
      <c r="F271" s="55"/>
      <c r="G271" s="249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T271" s="55"/>
    </row>
    <row r="272" spans="3:20" x14ac:dyDescent="0.15">
      <c r="C272" s="55"/>
      <c r="D272" s="55"/>
      <c r="E272" s="249"/>
      <c r="F272" s="55"/>
      <c r="G272" s="249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T272" s="55"/>
    </row>
    <row r="273" spans="3:20" x14ac:dyDescent="0.15">
      <c r="C273" s="55"/>
      <c r="D273" s="55"/>
      <c r="E273" s="249"/>
      <c r="F273" s="55"/>
      <c r="G273" s="249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T273" s="55"/>
    </row>
    <row r="274" spans="3:20" x14ac:dyDescent="0.15">
      <c r="C274" s="55"/>
      <c r="D274" s="55"/>
      <c r="E274" s="249"/>
      <c r="F274" s="55"/>
      <c r="G274" s="249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T274" s="55"/>
    </row>
    <row r="275" spans="3:20" x14ac:dyDescent="0.15">
      <c r="C275" s="55"/>
      <c r="D275" s="55"/>
      <c r="E275" s="249"/>
      <c r="F275" s="55"/>
      <c r="G275" s="249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T275" s="55"/>
    </row>
    <row r="276" spans="3:20" x14ac:dyDescent="0.15">
      <c r="C276" s="55"/>
      <c r="D276" s="55"/>
      <c r="E276" s="249"/>
      <c r="F276" s="55"/>
      <c r="G276" s="249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T276" s="55"/>
    </row>
    <row r="277" spans="3:20" x14ac:dyDescent="0.15">
      <c r="C277" s="55"/>
      <c r="D277" s="55"/>
      <c r="E277" s="249"/>
      <c r="F277" s="55"/>
      <c r="G277" s="249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T277" s="55"/>
    </row>
    <row r="278" spans="3:20" x14ac:dyDescent="0.15">
      <c r="C278" s="55"/>
      <c r="D278" s="55"/>
      <c r="E278" s="249"/>
      <c r="F278" s="55"/>
      <c r="G278" s="249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T278" s="55"/>
    </row>
    <row r="279" spans="3:20" x14ac:dyDescent="0.15">
      <c r="C279" s="55"/>
      <c r="D279" s="55"/>
      <c r="E279" s="249"/>
      <c r="F279" s="55"/>
      <c r="G279" s="249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T279" s="55"/>
    </row>
    <row r="280" spans="3:20" x14ac:dyDescent="0.15">
      <c r="C280" s="55"/>
      <c r="D280" s="55"/>
      <c r="E280" s="249"/>
      <c r="F280" s="55"/>
      <c r="G280" s="249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T280" s="55"/>
    </row>
    <row r="281" spans="3:20" x14ac:dyDescent="0.15">
      <c r="C281" s="55"/>
      <c r="D281" s="55"/>
      <c r="E281" s="249"/>
      <c r="F281" s="55"/>
      <c r="G281" s="249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T281" s="55"/>
    </row>
    <row r="282" spans="3:20" x14ac:dyDescent="0.15">
      <c r="C282" s="55"/>
      <c r="D282" s="55"/>
      <c r="E282" s="249"/>
      <c r="F282" s="55"/>
      <c r="G282" s="249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T282" s="55"/>
    </row>
    <row r="283" spans="3:20" x14ac:dyDescent="0.15">
      <c r="C283" s="55"/>
      <c r="D283" s="55"/>
      <c r="E283" s="249"/>
      <c r="F283" s="55"/>
      <c r="G283" s="249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T283" s="55"/>
    </row>
    <row r="284" spans="3:20" x14ac:dyDescent="0.15">
      <c r="C284" s="55"/>
      <c r="D284" s="55"/>
      <c r="E284" s="249"/>
      <c r="F284" s="55"/>
      <c r="G284" s="249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T284" s="55"/>
    </row>
    <row r="285" spans="3:20" x14ac:dyDescent="0.15">
      <c r="C285" s="55"/>
      <c r="D285" s="55"/>
      <c r="E285" s="249"/>
      <c r="F285" s="55"/>
      <c r="G285" s="249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T285" s="55"/>
    </row>
    <row r="286" spans="3:20" x14ac:dyDescent="0.15">
      <c r="C286" s="55"/>
      <c r="D286" s="55"/>
      <c r="E286" s="249"/>
      <c r="F286" s="55"/>
      <c r="G286" s="249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T286" s="55"/>
    </row>
    <row r="287" spans="3:20" x14ac:dyDescent="0.15">
      <c r="C287" s="55"/>
      <c r="D287" s="55"/>
      <c r="E287" s="249"/>
      <c r="F287" s="55"/>
      <c r="G287" s="249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T287" s="55"/>
    </row>
    <row r="288" spans="3:20" x14ac:dyDescent="0.15">
      <c r="C288" s="55"/>
      <c r="D288" s="55"/>
      <c r="E288" s="249"/>
      <c r="F288" s="55"/>
      <c r="G288" s="249"/>
      <c r="H288" s="55"/>
      <c r="I288" s="55"/>
      <c r="J288" s="55"/>
      <c r="K288" s="55"/>
      <c r="L288" s="55"/>
      <c r="M288" s="55"/>
      <c r="N288" s="55"/>
      <c r="O288" s="55"/>
      <c r="P288" s="55"/>
      <c r="Q288" s="55"/>
      <c r="R288" s="55"/>
      <c r="T288" s="55"/>
    </row>
    <row r="289" spans="3:20" x14ac:dyDescent="0.15">
      <c r="C289" s="55"/>
      <c r="D289" s="55"/>
      <c r="E289" s="249"/>
      <c r="F289" s="55"/>
      <c r="G289" s="249"/>
      <c r="H289" s="55"/>
      <c r="I289" s="55"/>
      <c r="J289" s="55"/>
      <c r="K289" s="55"/>
      <c r="L289" s="55"/>
      <c r="M289" s="55"/>
      <c r="N289" s="55"/>
      <c r="O289" s="55"/>
      <c r="P289" s="55"/>
      <c r="Q289" s="55"/>
      <c r="R289" s="55"/>
      <c r="T289" s="55"/>
    </row>
    <row r="290" spans="3:20" x14ac:dyDescent="0.15">
      <c r="C290" s="55"/>
      <c r="D290" s="55"/>
      <c r="E290" s="249"/>
      <c r="F290" s="55"/>
      <c r="G290" s="249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T290" s="55"/>
    </row>
    <row r="291" spans="3:20" x14ac:dyDescent="0.15">
      <c r="C291" s="55"/>
      <c r="D291" s="55"/>
      <c r="E291" s="249"/>
      <c r="F291" s="55"/>
      <c r="G291" s="249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T291" s="55"/>
    </row>
    <row r="292" spans="3:20" x14ac:dyDescent="0.15">
      <c r="C292" s="55"/>
      <c r="D292" s="55"/>
      <c r="E292" s="249"/>
      <c r="F292" s="55"/>
      <c r="G292" s="249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T292" s="55"/>
    </row>
    <row r="293" spans="3:20" x14ac:dyDescent="0.15">
      <c r="C293" s="55"/>
      <c r="D293" s="55"/>
      <c r="E293" s="249"/>
      <c r="F293" s="55"/>
      <c r="G293" s="249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T293" s="55"/>
    </row>
    <row r="294" spans="3:20" x14ac:dyDescent="0.15">
      <c r="C294" s="55"/>
      <c r="D294" s="55"/>
      <c r="E294" s="249"/>
      <c r="F294" s="55"/>
      <c r="G294" s="249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T294" s="55"/>
    </row>
    <row r="295" spans="3:20" x14ac:dyDescent="0.15">
      <c r="C295" s="55"/>
      <c r="D295" s="55"/>
      <c r="E295" s="249"/>
      <c r="F295" s="55"/>
      <c r="G295" s="249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T295" s="55"/>
    </row>
    <row r="296" spans="3:20" x14ac:dyDescent="0.15">
      <c r="C296" s="55"/>
      <c r="D296" s="55"/>
      <c r="E296" s="249"/>
      <c r="F296" s="55"/>
      <c r="G296" s="249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T296" s="55"/>
    </row>
    <row r="297" spans="3:20" x14ac:dyDescent="0.15">
      <c r="C297" s="55"/>
      <c r="D297" s="55"/>
      <c r="E297" s="249"/>
      <c r="F297" s="55"/>
      <c r="G297" s="249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T297" s="55"/>
    </row>
    <row r="298" spans="3:20" x14ac:dyDescent="0.15">
      <c r="C298" s="55"/>
      <c r="D298" s="55"/>
      <c r="E298" s="249"/>
      <c r="F298" s="55"/>
      <c r="G298" s="249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T298" s="55"/>
    </row>
    <row r="299" spans="3:20" x14ac:dyDescent="0.15">
      <c r="C299" s="55"/>
      <c r="D299" s="55"/>
      <c r="E299" s="249"/>
      <c r="F299" s="55"/>
      <c r="G299" s="249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T299" s="55"/>
    </row>
    <row r="300" spans="3:20" x14ac:dyDescent="0.15">
      <c r="C300" s="55"/>
      <c r="D300" s="55"/>
      <c r="E300" s="249"/>
      <c r="F300" s="55"/>
      <c r="G300" s="249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T300" s="55"/>
    </row>
    <row r="301" spans="3:20" x14ac:dyDescent="0.15">
      <c r="C301" s="55"/>
      <c r="D301" s="55"/>
      <c r="E301" s="249"/>
      <c r="F301" s="55"/>
      <c r="G301" s="249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T301" s="55"/>
    </row>
    <row r="302" spans="3:20" x14ac:dyDescent="0.15">
      <c r="C302" s="55"/>
      <c r="D302" s="55"/>
      <c r="E302" s="249"/>
      <c r="F302" s="55"/>
      <c r="G302" s="249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T302" s="55"/>
    </row>
    <row r="303" spans="3:20" x14ac:dyDescent="0.15">
      <c r="C303" s="55"/>
      <c r="D303" s="55"/>
      <c r="E303" s="249"/>
      <c r="F303" s="55"/>
      <c r="G303" s="249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T303" s="55"/>
    </row>
    <row r="304" spans="3:20" x14ac:dyDescent="0.15">
      <c r="C304" s="55"/>
      <c r="D304" s="55"/>
      <c r="E304" s="249"/>
      <c r="F304" s="55"/>
      <c r="G304" s="249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T304" s="55"/>
    </row>
    <row r="305" spans="3:20" x14ac:dyDescent="0.15">
      <c r="C305" s="55"/>
      <c r="D305" s="55"/>
      <c r="E305" s="249"/>
      <c r="F305" s="55"/>
      <c r="G305" s="249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T305" s="55"/>
    </row>
    <row r="306" spans="3:20" x14ac:dyDescent="0.15">
      <c r="C306" s="55"/>
      <c r="D306" s="55"/>
      <c r="E306" s="249"/>
      <c r="F306" s="55"/>
      <c r="G306" s="249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T306" s="55"/>
    </row>
    <row r="307" spans="3:20" x14ac:dyDescent="0.15">
      <c r="C307" s="55"/>
      <c r="D307" s="55"/>
      <c r="E307" s="249"/>
      <c r="F307" s="55"/>
      <c r="G307" s="249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T307" s="55"/>
    </row>
    <row r="308" spans="3:20" x14ac:dyDescent="0.15">
      <c r="C308" s="55"/>
      <c r="D308" s="55"/>
      <c r="E308" s="249"/>
      <c r="F308" s="55"/>
      <c r="G308" s="249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T308" s="55"/>
    </row>
    <row r="309" spans="3:20" x14ac:dyDescent="0.15">
      <c r="C309" s="55"/>
      <c r="D309" s="55"/>
      <c r="E309" s="249"/>
      <c r="F309" s="55"/>
      <c r="G309" s="249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T309" s="55"/>
    </row>
    <row r="310" spans="3:20" x14ac:dyDescent="0.15">
      <c r="C310" s="55"/>
      <c r="D310" s="55"/>
      <c r="E310" s="249"/>
      <c r="F310" s="55"/>
      <c r="G310" s="249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T310" s="55"/>
    </row>
    <row r="311" spans="3:20" x14ac:dyDescent="0.15">
      <c r="C311" s="55"/>
      <c r="D311" s="55"/>
      <c r="E311" s="249"/>
      <c r="F311" s="55"/>
      <c r="G311" s="249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T311" s="55"/>
    </row>
    <row r="312" spans="3:20" x14ac:dyDescent="0.15">
      <c r="C312" s="55"/>
      <c r="D312" s="55"/>
      <c r="E312" s="249"/>
      <c r="F312" s="55"/>
      <c r="G312" s="249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T312" s="55"/>
    </row>
    <row r="313" spans="3:20" x14ac:dyDescent="0.15">
      <c r="C313" s="55"/>
      <c r="D313" s="55"/>
      <c r="E313" s="249"/>
      <c r="F313" s="55"/>
      <c r="G313" s="249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T313" s="55"/>
    </row>
    <row r="314" spans="3:20" x14ac:dyDescent="0.15">
      <c r="C314" s="55"/>
      <c r="D314" s="55"/>
      <c r="E314" s="249"/>
      <c r="F314" s="55"/>
      <c r="G314" s="249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T314" s="55"/>
    </row>
    <row r="315" spans="3:20" x14ac:dyDescent="0.15">
      <c r="C315" s="55"/>
      <c r="D315" s="55"/>
      <c r="E315" s="249"/>
      <c r="F315" s="55"/>
      <c r="G315" s="249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T315" s="55"/>
    </row>
    <row r="316" spans="3:20" x14ac:dyDescent="0.15">
      <c r="C316" s="55"/>
      <c r="D316" s="55"/>
      <c r="E316" s="249"/>
      <c r="F316" s="55"/>
      <c r="G316" s="249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T316" s="55"/>
    </row>
    <row r="317" spans="3:20" x14ac:dyDescent="0.15">
      <c r="C317" s="55"/>
      <c r="D317" s="55"/>
      <c r="E317" s="249"/>
      <c r="F317" s="55"/>
      <c r="G317" s="249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T317" s="55"/>
    </row>
    <row r="318" spans="3:20" x14ac:dyDescent="0.15">
      <c r="C318" s="55"/>
      <c r="D318" s="55"/>
      <c r="E318" s="249"/>
      <c r="F318" s="55"/>
      <c r="G318" s="249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T318" s="55"/>
    </row>
    <row r="319" spans="3:20" x14ac:dyDescent="0.15">
      <c r="C319" s="55"/>
      <c r="D319" s="55"/>
      <c r="E319" s="249"/>
      <c r="F319" s="55"/>
      <c r="G319" s="249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T319" s="55"/>
    </row>
    <row r="320" spans="3:20" x14ac:dyDescent="0.15">
      <c r="C320" s="55"/>
      <c r="D320" s="55"/>
      <c r="E320" s="249"/>
      <c r="F320" s="55"/>
      <c r="G320" s="249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T320" s="55"/>
    </row>
    <row r="321" spans="3:20" x14ac:dyDescent="0.15">
      <c r="C321" s="55"/>
      <c r="D321" s="55"/>
      <c r="E321" s="249"/>
      <c r="F321" s="55"/>
      <c r="G321" s="249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T321" s="55"/>
    </row>
    <row r="322" spans="3:20" x14ac:dyDescent="0.15">
      <c r="C322" s="55"/>
      <c r="D322" s="55"/>
      <c r="E322" s="249"/>
      <c r="F322" s="55"/>
      <c r="G322" s="249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T322" s="55"/>
    </row>
    <row r="323" spans="3:20" x14ac:dyDescent="0.15">
      <c r="C323" s="55"/>
      <c r="D323" s="55"/>
      <c r="E323" s="249"/>
      <c r="F323" s="55"/>
      <c r="G323" s="249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T323" s="55"/>
    </row>
    <row r="324" spans="3:20" x14ac:dyDescent="0.15">
      <c r="C324" s="55"/>
      <c r="D324" s="55"/>
      <c r="E324" s="249"/>
      <c r="F324" s="55"/>
      <c r="G324" s="249"/>
      <c r="H324" s="55"/>
      <c r="I324" s="55"/>
      <c r="J324" s="55"/>
      <c r="K324" s="55"/>
      <c r="L324" s="55"/>
      <c r="M324" s="55"/>
      <c r="N324" s="55"/>
      <c r="O324" s="55"/>
      <c r="P324" s="55"/>
      <c r="Q324" s="55"/>
      <c r="R324" s="55"/>
      <c r="T324" s="55"/>
    </row>
    <row r="325" spans="3:20" x14ac:dyDescent="0.15">
      <c r="C325" s="55"/>
      <c r="D325" s="55"/>
      <c r="E325" s="249"/>
      <c r="F325" s="55"/>
      <c r="G325" s="249"/>
      <c r="H325" s="55"/>
      <c r="I325" s="55"/>
      <c r="J325" s="55"/>
      <c r="K325" s="55"/>
      <c r="L325" s="55"/>
      <c r="M325" s="55"/>
      <c r="N325" s="55"/>
      <c r="O325" s="55"/>
      <c r="P325" s="55"/>
      <c r="Q325" s="55"/>
      <c r="R325" s="55"/>
      <c r="T325" s="55"/>
    </row>
    <row r="326" spans="3:20" x14ac:dyDescent="0.15">
      <c r="C326" s="55"/>
      <c r="D326" s="55"/>
      <c r="E326" s="249"/>
      <c r="F326" s="55"/>
      <c r="G326" s="249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T326" s="55"/>
    </row>
    <row r="327" spans="3:20" x14ac:dyDescent="0.15">
      <c r="C327" s="55"/>
      <c r="D327" s="55"/>
      <c r="E327" s="249"/>
      <c r="F327" s="55"/>
      <c r="G327" s="249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T327" s="55"/>
    </row>
    <row r="328" spans="3:20" x14ac:dyDescent="0.15">
      <c r="C328" s="55"/>
      <c r="D328" s="55"/>
      <c r="E328" s="249"/>
      <c r="F328" s="55"/>
      <c r="G328" s="249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T328" s="55"/>
    </row>
    <row r="329" spans="3:20" x14ac:dyDescent="0.15">
      <c r="C329" s="55"/>
      <c r="D329" s="55"/>
      <c r="E329" s="249"/>
      <c r="F329" s="55"/>
      <c r="G329" s="249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T329" s="55"/>
    </row>
    <row r="330" spans="3:20" x14ac:dyDescent="0.15">
      <c r="C330" s="55"/>
      <c r="D330" s="55"/>
      <c r="E330" s="249"/>
      <c r="F330" s="55"/>
      <c r="G330" s="249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T330" s="55"/>
    </row>
    <row r="331" spans="3:20" x14ac:dyDescent="0.15">
      <c r="C331" s="55"/>
      <c r="D331" s="55"/>
      <c r="E331" s="249"/>
      <c r="F331" s="55"/>
      <c r="G331" s="249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T331" s="55"/>
    </row>
    <row r="332" spans="3:20" x14ac:dyDescent="0.15">
      <c r="C332" s="55"/>
      <c r="D332" s="55"/>
      <c r="E332" s="249"/>
      <c r="F332" s="55"/>
      <c r="G332" s="249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T332" s="55"/>
    </row>
    <row r="333" spans="3:20" x14ac:dyDescent="0.15">
      <c r="C333" s="55"/>
      <c r="D333" s="55"/>
      <c r="E333" s="249"/>
      <c r="F333" s="55"/>
      <c r="G333" s="249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T333" s="55"/>
    </row>
    <row r="334" spans="3:20" x14ac:dyDescent="0.15">
      <c r="C334" s="55"/>
      <c r="D334" s="55"/>
      <c r="E334" s="249"/>
      <c r="F334" s="55"/>
      <c r="G334" s="249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T334" s="55"/>
    </row>
    <row r="335" spans="3:20" x14ac:dyDescent="0.15">
      <c r="C335" s="55"/>
      <c r="D335" s="55"/>
      <c r="E335" s="249"/>
      <c r="F335" s="55"/>
      <c r="G335" s="249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T335" s="55"/>
    </row>
    <row r="336" spans="3:20" x14ac:dyDescent="0.15">
      <c r="C336" s="55"/>
      <c r="D336" s="55"/>
      <c r="E336" s="249"/>
      <c r="F336" s="55"/>
      <c r="G336" s="249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T336" s="55"/>
    </row>
    <row r="337" spans="3:20" x14ac:dyDescent="0.15">
      <c r="C337" s="55"/>
      <c r="D337" s="55"/>
      <c r="E337" s="249"/>
      <c r="F337" s="55"/>
      <c r="G337" s="249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T337" s="55"/>
    </row>
    <row r="338" spans="3:20" x14ac:dyDescent="0.15">
      <c r="C338" s="55"/>
      <c r="D338" s="55"/>
      <c r="E338" s="249"/>
      <c r="F338" s="55"/>
      <c r="G338" s="249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T338" s="55"/>
    </row>
    <row r="339" spans="3:20" x14ac:dyDescent="0.15">
      <c r="C339" s="55"/>
      <c r="D339" s="55"/>
      <c r="E339" s="249"/>
      <c r="F339" s="55"/>
      <c r="G339" s="249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T339" s="55"/>
    </row>
    <row r="340" spans="3:20" x14ac:dyDescent="0.15">
      <c r="C340" s="55"/>
      <c r="D340" s="55"/>
      <c r="E340" s="249"/>
      <c r="F340" s="55"/>
      <c r="G340" s="249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T340" s="55"/>
    </row>
    <row r="341" spans="3:20" x14ac:dyDescent="0.15">
      <c r="C341" s="55"/>
      <c r="D341" s="55"/>
      <c r="E341" s="249"/>
      <c r="F341" s="55"/>
      <c r="G341" s="249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T341" s="55"/>
    </row>
    <row r="342" spans="3:20" x14ac:dyDescent="0.15">
      <c r="C342" s="55"/>
      <c r="D342" s="55"/>
      <c r="E342" s="249"/>
      <c r="F342" s="55"/>
      <c r="G342" s="249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T342" s="55"/>
    </row>
    <row r="343" spans="3:20" x14ac:dyDescent="0.15">
      <c r="C343" s="55"/>
      <c r="D343" s="55"/>
      <c r="E343" s="249"/>
      <c r="F343" s="55"/>
      <c r="G343" s="249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T343" s="55"/>
    </row>
    <row r="344" spans="3:20" x14ac:dyDescent="0.15">
      <c r="C344" s="55"/>
      <c r="D344" s="55"/>
      <c r="E344" s="249"/>
      <c r="F344" s="55"/>
      <c r="G344" s="249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T344" s="55"/>
    </row>
    <row r="345" spans="3:20" x14ac:dyDescent="0.15">
      <c r="C345" s="55"/>
      <c r="D345" s="55"/>
      <c r="E345" s="249"/>
      <c r="F345" s="55"/>
      <c r="G345" s="249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T345" s="55"/>
    </row>
    <row r="346" spans="3:20" x14ac:dyDescent="0.15">
      <c r="C346" s="55"/>
      <c r="D346" s="55"/>
      <c r="E346" s="249"/>
      <c r="F346" s="55"/>
      <c r="G346" s="249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T346" s="55"/>
    </row>
    <row r="347" spans="3:20" x14ac:dyDescent="0.15">
      <c r="C347" s="55"/>
      <c r="D347" s="55"/>
      <c r="E347" s="249"/>
      <c r="F347" s="55"/>
      <c r="G347" s="249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T347" s="55"/>
    </row>
    <row r="348" spans="3:20" x14ac:dyDescent="0.15">
      <c r="C348" s="55"/>
      <c r="D348" s="55"/>
      <c r="E348" s="249"/>
      <c r="F348" s="55"/>
      <c r="G348" s="249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T348" s="55"/>
    </row>
    <row r="349" spans="3:20" x14ac:dyDescent="0.15">
      <c r="C349" s="55"/>
      <c r="D349" s="55"/>
      <c r="E349" s="249"/>
      <c r="F349" s="55"/>
      <c r="G349" s="249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T349" s="55"/>
    </row>
    <row r="350" spans="3:20" x14ac:dyDescent="0.15">
      <c r="C350" s="55"/>
      <c r="D350" s="55"/>
      <c r="E350" s="249"/>
      <c r="F350" s="55"/>
      <c r="G350" s="249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T350" s="55"/>
    </row>
    <row r="351" spans="3:20" x14ac:dyDescent="0.15">
      <c r="C351" s="55"/>
      <c r="D351" s="55"/>
      <c r="E351" s="249"/>
      <c r="F351" s="55"/>
      <c r="G351" s="249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T351" s="55"/>
    </row>
    <row r="352" spans="3:20" x14ac:dyDescent="0.15">
      <c r="C352" s="55"/>
      <c r="D352" s="55"/>
      <c r="E352" s="249"/>
      <c r="F352" s="55"/>
      <c r="G352" s="249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T352" s="55"/>
    </row>
    <row r="353" spans="3:20" x14ac:dyDescent="0.15">
      <c r="C353" s="55"/>
      <c r="D353" s="55"/>
      <c r="E353" s="249"/>
      <c r="F353" s="55"/>
      <c r="G353" s="249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T353" s="55"/>
    </row>
    <row r="354" spans="3:20" x14ac:dyDescent="0.15">
      <c r="C354" s="55"/>
      <c r="D354" s="55"/>
      <c r="E354" s="249"/>
      <c r="F354" s="55"/>
      <c r="G354" s="249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T354" s="55"/>
    </row>
    <row r="355" spans="3:20" x14ac:dyDescent="0.15">
      <c r="C355" s="55"/>
      <c r="D355" s="55"/>
      <c r="E355" s="249"/>
      <c r="F355" s="55"/>
      <c r="G355" s="249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T355" s="55"/>
    </row>
    <row r="356" spans="3:20" x14ac:dyDescent="0.15">
      <c r="C356" s="55"/>
      <c r="D356" s="55"/>
      <c r="E356" s="249"/>
      <c r="F356" s="55"/>
      <c r="G356" s="249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T356" s="55"/>
    </row>
    <row r="357" spans="3:20" x14ac:dyDescent="0.15">
      <c r="C357" s="55"/>
      <c r="D357" s="55"/>
      <c r="E357" s="249"/>
      <c r="F357" s="55"/>
      <c r="G357" s="249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T357" s="55"/>
    </row>
    <row r="358" spans="3:20" x14ac:dyDescent="0.15">
      <c r="C358" s="55"/>
      <c r="D358" s="55"/>
      <c r="E358" s="249"/>
      <c r="F358" s="55"/>
      <c r="G358" s="249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T358" s="55"/>
    </row>
    <row r="359" spans="3:20" x14ac:dyDescent="0.15">
      <c r="C359" s="55"/>
      <c r="D359" s="55"/>
      <c r="E359" s="249"/>
      <c r="F359" s="55"/>
      <c r="G359" s="249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T359" s="55"/>
    </row>
    <row r="360" spans="3:20" x14ac:dyDescent="0.15">
      <c r="C360" s="55"/>
      <c r="D360" s="55"/>
      <c r="E360" s="249"/>
      <c r="F360" s="55"/>
      <c r="G360" s="249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T360" s="55"/>
    </row>
    <row r="361" spans="3:20" x14ac:dyDescent="0.15">
      <c r="C361" s="55"/>
      <c r="D361" s="55"/>
      <c r="E361" s="249"/>
      <c r="F361" s="55"/>
      <c r="G361" s="249"/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T361" s="55"/>
    </row>
    <row r="362" spans="3:20" x14ac:dyDescent="0.15">
      <c r="C362" s="55"/>
      <c r="D362" s="55"/>
      <c r="E362" s="249"/>
      <c r="F362" s="55"/>
      <c r="G362" s="249"/>
      <c r="H362" s="55"/>
      <c r="I362" s="55"/>
      <c r="J362" s="55"/>
      <c r="K362" s="55"/>
      <c r="L362" s="55"/>
      <c r="M362" s="55"/>
      <c r="N362" s="55"/>
      <c r="O362" s="55"/>
      <c r="P362" s="55"/>
      <c r="Q362" s="55"/>
      <c r="R362" s="55"/>
      <c r="T362" s="55"/>
    </row>
    <row r="363" spans="3:20" x14ac:dyDescent="0.15">
      <c r="C363" s="55"/>
      <c r="D363" s="55"/>
      <c r="E363" s="249"/>
      <c r="F363" s="55"/>
      <c r="G363" s="249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T363" s="55"/>
    </row>
    <row r="364" spans="3:20" x14ac:dyDescent="0.15">
      <c r="C364" s="55"/>
      <c r="D364" s="55"/>
      <c r="E364" s="249"/>
      <c r="F364" s="55"/>
      <c r="G364" s="249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T364" s="55"/>
    </row>
    <row r="365" spans="3:20" x14ac:dyDescent="0.15">
      <c r="C365" s="55"/>
      <c r="D365" s="55"/>
      <c r="E365" s="249"/>
      <c r="F365" s="55"/>
      <c r="G365" s="249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T365" s="55"/>
    </row>
    <row r="366" spans="3:20" x14ac:dyDescent="0.15">
      <c r="C366" s="55"/>
      <c r="D366" s="55"/>
      <c r="E366" s="249"/>
      <c r="F366" s="55"/>
      <c r="G366" s="249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T366" s="55"/>
    </row>
    <row r="367" spans="3:20" x14ac:dyDescent="0.15">
      <c r="C367" s="55"/>
      <c r="D367" s="55"/>
      <c r="E367" s="249"/>
      <c r="F367" s="55"/>
      <c r="G367" s="249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T367" s="55"/>
    </row>
    <row r="368" spans="3:20" x14ac:dyDescent="0.15">
      <c r="C368" s="55"/>
      <c r="D368" s="55"/>
      <c r="E368" s="249"/>
      <c r="F368" s="55"/>
      <c r="G368" s="249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T368" s="55"/>
    </row>
    <row r="369" spans="3:20" x14ac:dyDescent="0.15">
      <c r="C369" s="55"/>
      <c r="D369" s="55"/>
      <c r="E369" s="249"/>
      <c r="F369" s="55"/>
      <c r="G369" s="249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T369" s="55"/>
    </row>
    <row r="370" spans="3:20" x14ac:dyDescent="0.15">
      <c r="C370" s="55"/>
      <c r="D370" s="55"/>
      <c r="E370" s="249"/>
      <c r="F370" s="55"/>
      <c r="G370" s="249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T370" s="55"/>
    </row>
    <row r="371" spans="3:20" x14ac:dyDescent="0.15">
      <c r="C371" s="55"/>
      <c r="D371" s="55"/>
      <c r="E371" s="249"/>
      <c r="F371" s="55"/>
      <c r="G371" s="249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T371" s="55"/>
    </row>
    <row r="372" spans="3:20" x14ac:dyDescent="0.15">
      <c r="C372" s="55"/>
      <c r="D372" s="55"/>
      <c r="E372" s="249"/>
      <c r="F372" s="55"/>
      <c r="G372" s="249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T372" s="55"/>
    </row>
    <row r="373" spans="3:20" x14ac:dyDescent="0.15">
      <c r="C373" s="55"/>
      <c r="D373" s="55"/>
      <c r="E373" s="249"/>
      <c r="F373" s="55"/>
      <c r="G373" s="249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T373" s="55"/>
    </row>
    <row r="374" spans="3:20" x14ac:dyDescent="0.15">
      <c r="C374" s="55"/>
      <c r="D374" s="55"/>
      <c r="E374" s="249"/>
      <c r="F374" s="55"/>
      <c r="G374" s="249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T374" s="55"/>
    </row>
    <row r="375" spans="3:20" x14ac:dyDescent="0.15">
      <c r="C375" s="55"/>
      <c r="D375" s="55"/>
      <c r="E375" s="249"/>
      <c r="F375" s="55"/>
      <c r="G375" s="249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T375" s="55"/>
    </row>
    <row r="376" spans="3:20" x14ac:dyDescent="0.15">
      <c r="C376" s="55"/>
      <c r="D376" s="55"/>
      <c r="E376" s="249"/>
      <c r="F376" s="55"/>
      <c r="G376" s="249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T376" s="55"/>
    </row>
    <row r="377" spans="3:20" x14ac:dyDescent="0.15">
      <c r="C377" s="55"/>
      <c r="D377" s="55"/>
      <c r="E377" s="249"/>
      <c r="F377" s="55"/>
      <c r="G377" s="249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T377" s="55"/>
    </row>
    <row r="378" spans="3:20" x14ac:dyDescent="0.15">
      <c r="C378" s="55"/>
      <c r="D378" s="55"/>
      <c r="E378" s="249"/>
      <c r="F378" s="55"/>
      <c r="G378" s="249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T378" s="55"/>
    </row>
    <row r="379" spans="3:20" x14ac:dyDescent="0.15">
      <c r="C379" s="55"/>
      <c r="D379" s="55"/>
      <c r="E379" s="249"/>
      <c r="F379" s="55"/>
      <c r="G379" s="249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T379" s="55"/>
    </row>
    <row r="380" spans="3:20" x14ac:dyDescent="0.15">
      <c r="C380" s="55"/>
      <c r="D380" s="55"/>
      <c r="E380" s="249"/>
      <c r="F380" s="55"/>
      <c r="G380" s="249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T380" s="55"/>
    </row>
    <row r="381" spans="3:20" x14ac:dyDescent="0.15">
      <c r="C381" s="55"/>
      <c r="D381" s="55"/>
      <c r="E381" s="249"/>
      <c r="F381" s="55"/>
      <c r="G381" s="249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T381" s="55"/>
    </row>
    <row r="382" spans="3:20" x14ac:dyDescent="0.15">
      <c r="C382" s="55"/>
      <c r="D382" s="55"/>
      <c r="E382" s="249"/>
      <c r="F382" s="55"/>
      <c r="G382" s="249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T382" s="55"/>
    </row>
    <row r="383" spans="3:20" x14ac:dyDescent="0.15">
      <c r="C383" s="55"/>
      <c r="D383" s="55"/>
      <c r="E383" s="249"/>
      <c r="F383" s="55"/>
      <c r="G383" s="249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T383" s="55"/>
    </row>
    <row r="384" spans="3:20" x14ac:dyDescent="0.15">
      <c r="C384" s="55"/>
      <c r="D384" s="55"/>
      <c r="E384" s="249"/>
      <c r="F384" s="55"/>
      <c r="G384" s="249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T384" s="55"/>
    </row>
  </sheetData>
  <mergeCells count="10">
    <mergeCell ref="H6:M6"/>
    <mergeCell ref="B5:L5"/>
    <mergeCell ref="C6:G6"/>
    <mergeCell ref="N6:Q6"/>
    <mergeCell ref="B8:B12"/>
    <mergeCell ref="B18:B20"/>
    <mergeCell ref="B21:B28"/>
    <mergeCell ref="B29:B31"/>
    <mergeCell ref="B32:B38"/>
    <mergeCell ref="B13:B17"/>
  </mergeCells>
  <conditionalFormatting sqref="G11:G28 G8">
    <cfRule type="colorScale" priority="119">
      <colorScale>
        <cfvo type="num" val="1"/>
        <cfvo type="num" val="3"/>
        <cfvo type="num" val="9"/>
        <color rgb="FF00B050"/>
        <color rgb="FFFFFF00"/>
        <color rgb="FFFF0000"/>
      </colorScale>
    </cfRule>
  </conditionalFormatting>
  <conditionalFormatting sqref="G9:G10">
    <cfRule type="colorScale" priority="118">
      <colorScale>
        <cfvo type="num" val="1"/>
        <cfvo type="num" val="3"/>
        <cfvo type="num" val="9"/>
        <color rgb="FF00B050"/>
        <color rgb="FFFFFF00"/>
        <color rgb="FFFF0000"/>
      </colorScale>
    </cfRule>
  </conditionalFormatting>
  <conditionalFormatting sqref="H11:K28">
    <cfRule type="cellIs" dxfId="98" priority="106" operator="equal">
      <formula>1</formula>
    </cfRule>
    <cfRule type="cellIs" dxfId="97" priority="107" operator="equal">
      <formula>3</formula>
    </cfRule>
    <cfRule type="cellIs" dxfId="96" priority="108" operator="equal">
      <formula>9</formula>
    </cfRule>
    <cfRule type="cellIs" dxfId="95" priority="109" operator="equal">
      <formula>15</formula>
    </cfRule>
    <cfRule type="cellIs" dxfId="94" priority="110" operator="equal">
      <formula>21</formula>
    </cfRule>
  </conditionalFormatting>
  <conditionalFormatting sqref="H8:L28">
    <cfRule type="cellIs" dxfId="93" priority="104" operator="equal">
      <formula>7</formula>
    </cfRule>
  </conditionalFormatting>
  <conditionalFormatting sqref="H9:K10">
    <cfRule type="cellIs" dxfId="92" priority="93" operator="equal">
      <formula>1</formula>
    </cfRule>
    <cfRule type="cellIs" dxfId="91" priority="94" operator="equal">
      <formula>3</formula>
    </cfRule>
    <cfRule type="cellIs" dxfId="90" priority="95" operator="equal">
      <formula>9</formula>
    </cfRule>
    <cfRule type="cellIs" dxfId="89" priority="96" operator="equal">
      <formula>15</formula>
    </cfRule>
    <cfRule type="cellIs" dxfId="88" priority="97" operator="equal">
      <formula>21</formula>
    </cfRule>
  </conditionalFormatting>
  <conditionalFormatting sqref="L9:L10">
    <cfRule type="cellIs" dxfId="87" priority="88" operator="equal">
      <formula>1</formula>
    </cfRule>
    <cfRule type="cellIs" dxfId="86" priority="89" operator="equal">
      <formula>2</formula>
    </cfRule>
    <cfRule type="cellIs" dxfId="85" priority="90" operator="equal">
      <formula>3</formula>
    </cfRule>
    <cfRule type="cellIs" dxfId="84" priority="91" operator="equal">
      <formula>5</formula>
    </cfRule>
    <cfRule type="cellIs" dxfId="83" priority="92" operator="equal">
      <formula>7</formula>
    </cfRule>
  </conditionalFormatting>
  <conditionalFormatting sqref="H8:L28">
    <cfRule type="cellIs" dxfId="82" priority="101" operator="equal">
      <formula>1</formula>
    </cfRule>
    <cfRule type="cellIs" dxfId="81" priority="102" operator="equal">
      <formula>3</formula>
    </cfRule>
    <cfRule type="cellIs" dxfId="80" priority="103" operator="equal">
      <formula>5</formula>
    </cfRule>
    <cfRule type="cellIs" dxfId="79" priority="105" operator="equal">
      <formula>10</formula>
    </cfRule>
  </conditionalFormatting>
  <conditionalFormatting sqref="G29:G31">
    <cfRule type="colorScale" priority="71">
      <colorScale>
        <cfvo type="num" val="1"/>
        <cfvo type="num" val="3"/>
        <cfvo type="num" val="9"/>
        <color rgb="FF00B050"/>
        <color rgb="FFFFFF00"/>
        <color rgb="FFFF0000"/>
      </colorScale>
    </cfRule>
  </conditionalFormatting>
  <conditionalFormatting sqref="H29:K31">
    <cfRule type="cellIs" dxfId="78" priority="62" operator="equal">
      <formula>1</formula>
    </cfRule>
    <cfRule type="cellIs" dxfId="77" priority="63" operator="equal">
      <formula>3</formula>
    </cfRule>
    <cfRule type="cellIs" dxfId="76" priority="64" operator="equal">
      <formula>9</formula>
    </cfRule>
    <cfRule type="cellIs" dxfId="75" priority="65" operator="equal">
      <formula>15</formula>
    </cfRule>
    <cfRule type="cellIs" dxfId="74" priority="66" operator="equal">
      <formula>21</formula>
    </cfRule>
  </conditionalFormatting>
  <conditionalFormatting sqref="H29:L31">
    <cfRule type="cellIs" dxfId="73" priority="60" operator="equal">
      <formula>7</formula>
    </cfRule>
  </conditionalFormatting>
  <conditionalFormatting sqref="H29:L31">
    <cfRule type="cellIs" dxfId="72" priority="57" operator="equal">
      <formula>1</formula>
    </cfRule>
    <cfRule type="cellIs" dxfId="71" priority="58" operator="equal">
      <formula>3</formula>
    </cfRule>
    <cfRule type="cellIs" dxfId="70" priority="59" operator="equal">
      <formula>5</formula>
    </cfRule>
    <cfRule type="cellIs" dxfId="69" priority="61" operator="equal">
      <formula>10</formula>
    </cfRule>
  </conditionalFormatting>
  <conditionalFormatting sqref="G32:G38">
    <cfRule type="colorScale" priority="53">
      <colorScale>
        <cfvo type="num" val="1"/>
        <cfvo type="num" val="3"/>
        <cfvo type="num" val="9"/>
        <color rgb="FF00B050"/>
        <color rgb="FFFFFF00"/>
        <color rgb="FFFF0000"/>
      </colorScale>
    </cfRule>
  </conditionalFormatting>
  <conditionalFormatting sqref="H32:K38">
    <cfRule type="cellIs" dxfId="68" priority="44" operator="equal">
      <formula>1</formula>
    </cfRule>
    <cfRule type="cellIs" dxfId="67" priority="45" operator="equal">
      <formula>3</formula>
    </cfRule>
    <cfRule type="cellIs" dxfId="66" priority="46" operator="equal">
      <formula>9</formula>
    </cfRule>
    <cfRule type="cellIs" dxfId="65" priority="47" operator="equal">
      <formula>15</formula>
    </cfRule>
    <cfRule type="cellIs" dxfId="64" priority="48" operator="equal">
      <formula>21</formula>
    </cfRule>
  </conditionalFormatting>
  <conditionalFormatting sqref="H32:L38">
    <cfRule type="cellIs" dxfId="63" priority="42" operator="equal">
      <formula>7</formula>
    </cfRule>
  </conditionalFormatting>
  <conditionalFormatting sqref="H32:L38">
    <cfRule type="cellIs" dxfId="62" priority="39" operator="equal">
      <formula>1</formula>
    </cfRule>
    <cfRule type="cellIs" dxfId="61" priority="40" operator="equal">
      <formula>3</formula>
    </cfRule>
    <cfRule type="cellIs" dxfId="60" priority="41" operator="equal">
      <formula>5</formula>
    </cfRule>
    <cfRule type="cellIs" dxfId="59" priority="43" operator="equal">
      <formula>10</formula>
    </cfRule>
  </conditionalFormatting>
  <conditionalFormatting sqref="M11:M28">
    <cfRule type="cellIs" dxfId="58" priority="31" operator="equal">
      <formula>1</formula>
    </cfRule>
    <cfRule type="cellIs" dxfId="57" priority="32" operator="equal">
      <formula>3</formula>
    </cfRule>
    <cfRule type="cellIs" dxfId="56" priority="33" operator="equal">
      <formula>9</formula>
    </cfRule>
    <cfRule type="cellIs" dxfId="55" priority="34" operator="equal">
      <formula>15</formula>
    </cfRule>
    <cfRule type="cellIs" dxfId="54" priority="35" operator="equal">
      <formula>21</formula>
    </cfRule>
  </conditionalFormatting>
  <conditionalFormatting sqref="M8:M28">
    <cfRule type="cellIs" dxfId="53" priority="29" operator="equal">
      <formula>7</formula>
    </cfRule>
  </conditionalFormatting>
  <conditionalFormatting sqref="M9:M10">
    <cfRule type="cellIs" dxfId="52" priority="21" operator="equal">
      <formula>1</formula>
    </cfRule>
    <cfRule type="cellIs" dxfId="51" priority="22" operator="equal">
      <formula>3</formula>
    </cfRule>
    <cfRule type="cellIs" dxfId="50" priority="23" operator="equal">
      <formula>9</formula>
    </cfRule>
    <cfRule type="cellIs" dxfId="49" priority="24" operator="equal">
      <formula>15</formula>
    </cfRule>
    <cfRule type="cellIs" dxfId="48" priority="25" operator="equal">
      <formula>21</formula>
    </cfRule>
  </conditionalFormatting>
  <conditionalFormatting sqref="M8:M28">
    <cfRule type="cellIs" dxfId="47" priority="26" operator="equal">
      <formula>1</formula>
    </cfRule>
    <cfRule type="cellIs" dxfId="46" priority="27" operator="equal">
      <formula>3</formula>
    </cfRule>
    <cfRule type="cellIs" dxfId="45" priority="28" operator="equal">
      <formula>5</formula>
    </cfRule>
    <cfRule type="cellIs" dxfId="44" priority="30" operator="equal">
      <formula>10</formula>
    </cfRule>
  </conditionalFormatting>
  <conditionalFormatting sqref="M29:M31">
    <cfRule type="cellIs" dxfId="43" priority="16" operator="equal">
      <formula>1</formula>
    </cfRule>
    <cfRule type="cellIs" dxfId="42" priority="17" operator="equal">
      <formula>3</formula>
    </cfRule>
    <cfRule type="cellIs" dxfId="41" priority="18" operator="equal">
      <formula>9</formula>
    </cfRule>
    <cfRule type="cellIs" dxfId="40" priority="19" operator="equal">
      <formula>15</formula>
    </cfRule>
    <cfRule type="cellIs" dxfId="39" priority="20" operator="equal">
      <formula>21</formula>
    </cfRule>
  </conditionalFormatting>
  <conditionalFormatting sqref="M29:M31">
    <cfRule type="cellIs" dxfId="38" priority="14" operator="equal">
      <formula>7</formula>
    </cfRule>
  </conditionalFormatting>
  <conditionalFormatting sqref="M29:M31">
    <cfRule type="cellIs" dxfId="37" priority="11" operator="equal">
      <formula>1</formula>
    </cfRule>
    <cfRule type="cellIs" dxfId="36" priority="12" operator="equal">
      <formula>3</formula>
    </cfRule>
    <cfRule type="cellIs" dxfId="35" priority="13" operator="equal">
      <formula>5</formula>
    </cfRule>
    <cfRule type="cellIs" dxfId="34" priority="15" operator="equal">
      <formula>10</formula>
    </cfRule>
  </conditionalFormatting>
  <conditionalFormatting sqref="M32:M38">
    <cfRule type="cellIs" dxfId="33" priority="6" operator="equal">
      <formula>1</formula>
    </cfRule>
    <cfRule type="cellIs" dxfId="32" priority="7" operator="equal">
      <formula>3</formula>
    </cfRule>
    <cfRule type="cellIs" dxfId="31" priority="8" operator="equal">
      <formula>9</formula>
    </cfRule>
    <cfRule type="cellIs" dxfId="30" priority="9" operator="equal">
      <formula>15</formula>
    </cfRule>
    <cfRule type="cellIs" dxfId="29" priority="10" operator="equal">
      <formula>21</formula>
    </cfRule>
  </conditionalFormatting>
  <conditionalFormatting sqref="M32:M38">
    <cfRule type="cellIs" dxfId="28" priority="4" operator="equal">
      <formula>7</formula>
    </cfRule>
  </conditionalFormatting>
  <conditionalFormatting sqref="M32:M38">
    <cfRule type="cellIs" dxfId="27" priority="1" operator="equal">
      <formula>1</formula>
    </cfRule>
    <cfRule type="cellIs" dxfId="26" priority="2" operator="equal">
      <formula>3</formula>
    </cfRule>
    <cfRule type="cellIs" dxfId="25" priority="3" operator="equal">
      <formula>5</formula>
    </cfRule>
    <cfRule type="cellIs" dxfId="24" priority="5" operator="equal">
      <formula>10</formula>
    </cfRule>
  </conditionalFormatting>
  <dataValidations count="2">
    <dataValidation type="list" allowBlank="1" showInputMessage="1" showErrorMessage="1" sqref="Q8:Q38" xr:uid="{00000000-0002-0000-0200-000000000000}">
      <formula1>$C$49:$C$52</formula1>
    </dataValidation>
    <dataValidation type="list" allowBlank="1" showInputMessage="1" showErrorMessage="1" sqref="G8:G38" xr:uid="{00000000-0002-0000-0200-000001000000}">
      <formula1>$C$43:$C$47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56"/>
  <sheetViews>
    <sheetView workbookViewId="0">
      <selection activeCell="B45" sqref="B45"/>
    </sheetView>
  </sheetViews>
  <sheetFormatPr baseColWidth="10" defaultColWidth="8.83203125" defaultRowHeight="15" x14ac:dyDescent="0.2"/>
  <cols>
    <col min="1" max="1" width="17.5" customWidth="1"/>
    <col min="2" max="2" width="48.1640625" bestFit="1" customWidth="1"/>
    <col min="3" max="3" width="17.6640625" style="363" customWidth="1"/>
    <col min="4" max="6" width="9.1640625" style="363"/>
    <col min="9" max="9" width="15.83203125" customWidth="1"/>
  </cols>
  <sheetData>
    <row r="1" spans="1:39" s="2" customFormat="1" ht="21.75" customHeight="1" x14ac:dyDescent="0.2">
      <c r="A1" s="457"/>
      <c r="B1" s="458"/>
      <c r="C1" s="458"/>
      <c r="D1" s="458"/>
      <c r="E1" s="458"/>
      <c r="F1" s="458"/>
      <c r="G1" s="458"/>
      <c r="H1" s="459"/>
      <c r="I1" s="374" t="s">
        <v>0</v>
      </c>
      <c r="J1" s="466"/>
      <c r="K1" s="467"/>
      <c r="L1" s="467"/>
      <c r="M1" s="468"/>
      <c r="N1" s="472" t="s">
        <v>216</v>
      </c>
      <c r="O1" s="473"/>
      <c r="P1" s="466"/>
      <c r="Q1" s="467"/>
      <c r="R1" s="468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s="2" customFormat="1" ht="21.75" customHeight="1" x14ac:dyDescent="0.2">
      <c r="A2" s="460"/>
      <c r="B2" s="461"/>
      <c r="C2" s="461"/>
      <c r="D2" s="461"/>
      <c r="E2" s="461"/>
      <c r="F2" s="461"/>
      <c r="G2" s="461"/>
      <c r="H2" s="462"/>
      <c r="I2" s="374" t="s">
        <v>207</v>
      </c>
      <c r="J2" s="466" t="s">
        <v>188</v>
      </c>
      <c r="K2" s="467"/>
      <c r="L2" s="467"/>
      <c r="M2" s="468"/>
      <c r="N2" s="472" t="s">
        <v>1</v>
      </c>
      <c r="O2" s="473"/>
      <c r="P2" s="466"/>
      <c r="Q2" s="467"/>
      <c r="R2" s="468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</row>
    <row r="3" spans="1:39" s="2" customFormat="1" ht="21.75" customHeight="1" x14ac:dyDescent="0.2">
      <c r="A3" s="463"/>
      <c r="B3" s="464"/>
      <c r="C3" s="464"/>
      <c r="D3" s="464"/>
      <c r="E3" s="464"/>
      <c r="F3" s="464"/>
      <c r="G3" s="464"/>
      <c r="H3" s="465"/>
      <c r="I3" s="374" t="s">
        <v>30</v>
      </c>
      <c r="J3" s="469"/>
      <c r="K3" s="470"/>
      <c r="L3" s="470"/>
      <c r="M3" s="471"/>
      <c r="N3" s="472"/>
      <c r="O3" s="473"/>
      <c r="P3" s="466"/>
      <c r="Q3" s="467"/>
      <c r="R3" s="468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</row>
    <row r="4" spans="1:39" s="375" customFormat="1" ht="16" x14ac:dyDescent="0.2">
      <c r="A4" s="455" t="s">
        <v>218</v>
      </c>
      <c r="B4" s="455"/>
      <c r="C4" s="376"/>
      <c r="D4" s="376"/>
      <c r="E4" s="376"/>
      <c r="F4" s="376"/>
    </row>
    <row r="5" spans="1:39" s="360" customFormat="1" ht="19" x14ac:dyDescent="0.25">
      <c r="A5" s="456" t="s">
        <v>184</v>
      </c>
      <c r="B5" s="456"/>
      <c r="C5" s="373" t="s">
        <v>187</v>
      </c>
      <c r="D5" s="373" t="s">
        <v>217</v>
      </c>
      <c r="E5" s="362"/>
      <c r="F5" s="362"/>
    </row>
    <row r="6" spans="1:39" x14ac:dyDescent="0.2">
      <c r="B6" s="365" t="s">
        <v>192</v>
      </c>
      <c r="D6" s="454"/>
      <c r="E6" s="454"/>
      <c r="F6" s="454"/>
      <c r="G6" s="454"/>
      <c r="H6" s="454"/>
      <c r="I6" s="454"/>
    </row>
    <row r="7" spans="1:39" x14ac:dyDescent="0.2">
      <c r="B7" s="365" t="s">
        <v>193</v>
      </c>
      <c r="D7" s="454"/>
      <c r="E7" s="454"/>
      <c r="F7" s="454"/>
      <c r="G7" s="454"/>
      <c r="H7" s="454"/>
      <c r="I7" s="454"/>
    </row>
    <row r="8" spans="1:39" x14ac:dyDescent="0.2">
      <c r="B8" s="365" t="s">
        <v>208</v>
      </c>
      <c r="D8" s="454"/>
      <c r="E8" s="454"/>
      <c r="F8" s="454"/>
      <c r="G8" s="454"/>
      <c r="H8" s="454"/>
      <c r="I8" s="454"/>
    </row>
    <row r="9" spans="1:39" x14ac:dyDescent="0.2">
      <c r="B9" s="365" t="s">
        <v>226</v>
      </c>
      <c r="D9" s="454"/>
      <c r="E9" s="454"/>
      <c r="F9" s="454"/>
      <c r="G9" s="454"/>
      <c r="H9" s="454"/>
      <c r="I9" s="454"/>
    </row>
    <row r="10" spans="1:39" x14ac:dyDescent="0.2">
      <c r="B10" s="365" t="s">
        <v>194</v>
      </c>
      <c r="D10" s="454"/>
      <c r="E10" s="454"/>
      <c r="F10" s="454"/>
      <c r="G10" s="454"/>
      <c r="H10" s="454"/>
      <c r="I10" s="454"/>
    </row>
    <row r="11" spans="1:39" x14ac:dyDescent="0.2">
      <c r="B11" s="365" t="s">
        <v>232</v>
      </c>
      <c r="D11" s="454"/>
      <c r="E11" s="454"/>
      <c r="F11" s="454"/>
      <c r="G11" s="454"/>
      <c r="H11" s="454"/>
      <c r="I11" s="454"/>
    </row>
    <row r="12" spans="1:39" s="361" customFormat="1" ht="19" x14ac:dyDescent="0.25">
      <c r="A12" s="452" t="s">
        <v>185</v>
      </c>
      <c r="B12" s="452"/>
      <c r="C12" s="362"/>
      <c r="D12" s="364"/>
      <c r="E12" s="364"/>
      <c r="F12" s="364"/>
    </row>
    <row r="13" spans="1:39" x14ac:dyDescent="0.2">
      <c r="B13" s="365" t="s">
        <v>186</v>
      </c>
      <c r="D13" s="454"/>
      <c r="E13" s="454"/>
      <c r="F13" s="454"/>
      <c r="G13" s="454"/>
      <c r="H13" s="454"/>
      <c r="I13" s="454"/>
    </row>
    <row r="14" spans="1:39" x14ac:dyDescent="0.2">
      <c r="B14" s="365" t="s">
        <v>189</v>
      </c>
      <c r="D14" s="454"/>
      <c r="E14" s="454"/>
      <c r="F14" s="454"/>
      <c r="G14" s="454"/>
      <c r="H14" s="454"/>
      <c r="I14" s="454"/>
    </row>
    <row r="15" spans="1:39" x14ac:dyDescent="0.2">
      <c r="B15" s="365" t="s">
        <v>219</v>
      </c>
      <c r="D15" s="454"/>
      <c r="E15" s="454"/>
      <c r="F15" s="454"/>
      <c r="G15" s="454"/>
      <c r="H15" s="454"/>
      <c r="I15" s="454"/>
    </row>
    <row r="16" spans="1:39" x14ac:dyDescent="0.2">
      <c r="B16" s="365" t="s">
        <v>220</v>
      </c>
      <c r="D16" s="454"/>
      <c r="E16" s="454"/>
      <c r="F16" s="454"/>
      <c r="G16" s="454"/>
      <c r="H16" s="454"/>
      <c r="I16" s="454"/>
    </row>
    <row r="17" spans="1:9" x14ac:dyDescent="0.2">
      <c r="B17" s="365" t="s">
        <v>227</v>
      </c>
      <c r="D17" s="454"/>
      <c r="E17" s="454"/>
      <c r="F17" s="454"/>
      <c r="G17" s="454"/>
      <c r="H17" s="454"/>
      <c r="I17" s="454"/>
    </row>
    <row r="18" spans="1:9" s="366" customFormat="1" ht="19" x14ac:dyDescent="0.2">
      <c r="A18" s="452" t="s">
        <v>190</v>
      </c>
      <c r="B18" s="452"/>
      <c r="C18" s="367"/>
      <c r="D18" s="367"/>
      <c r="E18" s="367"/>
      <c r="F18" s="367"/>
    </row>
    <row r="19" spans="1:9" x14ac:dyDescent="0.2">
      <c r="B19" s="365" t="s">
        <v>230</v>
      </c>
      <c r="D19" s="454"/>
      <c r="E19" s="454"/>
      <c r="F19" s="454"/>
      <c r="G19" s="454"/>
      <c r="H19" s="454"/>
      <c r="I19" s="454"/>
    </row>
    <row r="20" spans="1:9" x14ac:dyDescent="0.2">
      <c r="B20" s="365" t="s">
        <v>209</v>
      </c>
      <c r="D20" s="454"/>
      <c r="E20" s="454"/>
      <c r="F20" s="454"/>
      <c r="G20" s="454"/>
      <c r="H20" s="454"/>
      <c r="I20" s="454"/>
    </row>
    <row r="21" spans="1:9" x14ac:dyDescent="0.2">
      <c r="B21" s="365" t="s">
        <v>231</v>
      </c>
      <c r="D21" s="454"/>
      <c r="E21" s="454"/>
      <c r="F21" s="454"/>
      <c r="G21" s="454"/>
      <c r="H21" s="454"/>
      <c r="I21" s="454"/>
    </row>
    <row r="22" spans="1:9" x14ac:dyDescent="0.2">
      <c r="B22" s="365" t="s">
        <v>194</v>
      </c>
      <c r="D22" s="454"/>
      <c r="E22" s="454"/>
      <c r="F22" s="454"/>
      <c r="G22" s="454"/>
      <c r="H22" s="454"/>
      <c r="I22" s="454"/>
    </row>
    <row r="23" spans="1:9" s="366" customFormat="1" ht="19" x14ac:dyDescent="0.25">
      <c r="A23" s="452" t="s">
        <v>191</v>
      </c>
      <c r="B23" s="452"/>
      <c r="C23" s="362"/>
      <c r="D23" s="367"/>
      <c r="E23" s="367"/>
      <c r="F23" s="367"/>
    </row>
    <row r="24" spans="1:9" x14ac:dyDescent="0.2">
      <c r="B24" s="365" t="s">
        <v>195</v>
      </c>
      <c r="D24" s="454"/>
      <c r="E24" s="454"/>
      <c r="F24" s="454"/>
      <c r="G24" s="454"/>
      <c r="H24" s="454"/>
      <c r="I24" s="454"/>
    </row>
    <row r="25" spans="1:9" x14ac:dyDescent="0.2">
      <c r="B25" s="365" t="s">
        <v>221</v>
      </c>
      <c r="D25" s="454"/>
      <c r="E25" s="454"/>
      <c r="F25" s="454"/>
      <c r="G25" s="454"/>
      <c r="H25" s="454"/>
      <c r="I25" s="454"/>
    </row>
    <row r="26" spans="1:9" x14ac:dyDescent="0.2">
      <c r="B26" s="365" t="s">
        <v>196</v>
      </c>
      <c r="D26" s="454"/>
      <c r="E26" s="454"/>
      <c r="F26" s="454"/>
      <c r="G26" s="454"/>
      <c r="H26" s="454"/>
      <c r="I26" s="454"/>
    </row>
    <row r="27" spans="1:9" x14ac:dyDescent="0.2">
      <c r="B27" s="365" t="s">
        <v>228</v>
      </c>
      <c r="D27" s="454"/>
      <c r="E27" s="454"/>
      <c r="F27" s="454"/>
      <c r="G27" s="454"/>
      <c r="H27" s="454"/>
      <c r="I27" s="454"/>
    </row>
    <row r="28" spans="1:9" x14ac:dyDescent="0.2">
      <c r="B28" s="365" t="s">
        <v>229</v>
      </c>
      <c r="D28" s="454"/>
      <c r="E28" s="454"/>
      <c r="F28" s="454"/>
      <c r="G28" s="454"/>
      <c r="H28" s="454"/>
      <c r="I28" s="454"/>
    </row>
    <row r="29" spans="1:9" s="366" customFormat="1" ht="19" x14ac:dyDescent="0.25">
      <c r="A29" s="452" t="s">
        <v>199</v>
      </c>
      <c r="B29" s="452"/>
      <c r="C29" s="362"/>
      <c r="D29" s="367"/>
      <c r="E29" s="367"/>
      <c r="F29" s="367"/>
    </row>
    <row r="30" spans="1:9" x14ac:dyDescent="0.2">
      <c r="B30" s="365" t="s">
        <v>223</v>
      </c>
      <c r="D30" s="454"/>
      <c r="E30" s="454"/>
      <c r="F30" s="454"/>
      <c r="G30" s="454"/>
      <c r="H30" s="454"/>
      <c r="I30" s="454"/>
    </row>
    <row r="31" spans="1:9" x14ac:dyDescent="0.2">
      <c r="B31" s="365" t="s">
        <v>197</v>
      </c>
      <c r="D31" s="454"/>
      <c r="E31" s="454"/>
      <c r="F31" s="454"/>
      <c r="G31" s="454"/>
      <c r="H31" s="454"/>
      <c r="I31" s="454"/>
    </row>
    <row r="32" spans="1:9" x14ac:dyDescent="0.2">
      <c r="B32" s="365" t="s">
        <v>198</v>
      </c>
      <c r="D32" s="377"/>
      <c r="E32" s="377"/>
      <c r="F32" s="377"/>
      <c r="G32" s="377"/>
      <c r="H32" s="377"/>
      <c r="I32" s="377"/>
    </row>
    <row r="33" spans="1:9" x14ac:dyDescent="0.2">
      <c r="B33" s="365" t="s">
        <v>222</v>
      </c>
      <c r="D33" s="454"/>
      <c r="E33" s="454"/>
      <c r="F33" s="454"/>
      <c r="G33" s="454"/>
      <c r="H33" s="454"/>
      <c r="I33" s="454"/>
    </row>
    <row r="34" spans="1:9" x14ac:dyDescent="0.2">
      <c r="B34" s="365" t="s">
        <v>201</v>
      </c>
      <c r="D34" s="454"/>
      <c r="E34" s="454"/>
      <c r="F34" s="454"/>
      <c r="G34" s="454"/>
      <c r="H34" s="454"/>
      <c r="I34" s="454"/>
    </row>
    <row r="35" spans="1:9" x14ac:dyDescent="0.2">
      <c r="B35" s="365" t="s">
        <v>202</v>
      </c>
      <c r="D35" s="454"/>
      <c r="E35" s="454"/>
      <c r="F35" s="454"/>
      <c r="G35" s="454"/>
      <c r="H35" s="454"/>
      <c r="I35" s="454"/>
    </row>
    <row r="36" spans="1:9" x14ac:dyDescent="0.2">
      <c r="B36" s="365" t="s">
        <v>214</v>
      </c>
      <c r="D36" s="454"/>
      <c r="E36" s="454"/>
      <c r="F36" s="454"/>
      <c r="G36" s="454"/>
      <c r="H36" s="454"/>
      <c r="I36" s="454"/>
    </row>
    <row r="37" spans="1:9" x14ac:dyDescent="0.2">
      <c r="B37" s="365" t="s">
        <v>206</v>
      </c>
      <c r="D37" s="454"/>
      <c r="E37" s="454"/>
      <c r="F37" s="454"/>
      <c r="G37" s="454"/>
      <c r="H37" s="454"/>
      <c r="I37" s="454"/>
    </row>
    <row r="38" spans="1:9" x14ac:dyDescent="0.2">
      <c r="B38" s="365" t="s">
        <v>200</v>
      </c>
      <c r="D38" s="454"/>
      <c r="E38" s="454"/>
      <c r="F38" s="454"/>
      <c r="G38" s="454"/>
      <c r="H38" s="454"/>
      <c r="I38" s="454"/>
    </row>
    <row r="39" spans="1:9" x14ac:dyDescent="0.2">
      <c r="B39" s="365" t="s">
        <v>203</v>
      </c>
      <c r="D39" s="454"/>
      <c r="E39" s="454"/>
      <c r="F39" s="454"/>
      <c r="G39" s="454"/>
      <c r="H39" s="454"/>
      <c r="I39" s="454"/>
    </row>
    <row r="40" spans="1:9" s="366" customFormat="1" ht="19" x14ac:dyDescent="0.25">
      <c r="A40" s="453" t="s">
        <v>204</v>
      </c>
      <c r="B40" s="453"/>
      <c r="C40" s="362"/>
      <c r="D40" s="367"/>
      <c r="E40" s="367"/>
      <c r="F40" s="367"/>
    </row>
    <row r="41" spans="1:9" x14ac:dyDescent="0.2">
      <c r="B41" s="365" t="s">
        <v>205</v>
      </c>
      <c r="D41" s="454"/>
      <c r="E41" s="454"/>
      <c r="F41" s="454"/>
      <c r="G41" s="454"/>
      <c r="H41" s="454"/>
      <c r="I41" s="454"/>
    </row>
    <row r="42" spans="1:9" x14ac:dyDescent="0.2">
      <c r="B42" s="365" t="s">
        <v>215</v>
      </c>
      <c r="D42" s="454"/>
      <c r="E42" s="454"/>
      <c r="F42" s="454"/>
      <c r="G42" s="454"/>
      <c r="H42" s="454"/>
      <c r="I42" s="454"/>
    </row>
    <row r="43" spans="1:9" x14ac:dyDescent="0.2">
      <c r="B43" s="365" t="s">
        <v>225</v>
      </c>
      <c r="D43" s="454"/>
      <c r="E43" s="454"/>
      <c r="F43" s="454"/>
      <c r="G43" s="454"/>
      <c r="H43" s="454"/>
      <c r="I43" s="454"/>
    </row>
    <row r="44" spans="1:9" x14ac:dyDescent="0.2">
      <c r="B44" s="365" t="s">
        <v>233</v>
      </c>
      <c r="D44" s="454"/>
      <c r="E44" s="454"/>
      <c r="F44" s="454"/>
      <c r="G44" s="454"/>
      <c r="H44" s="454"/>
      <c r="I44" s="454"/>
    </row>
    <row r="45" spans="1:9" x14ac:dyDescent="0.2">
      <c r="B45" s="365" t="s">
        <v>224</v>
      </c>
      <c r="D45" s="454"/>
      <c r="E45" s="454"/>
      <c r="F45" s="454"/>
      <c r="G45" s="454"/>
      <c r="H45" s="454"/>
      <c r="I45" s="454"/>
    </row>
    <row r="52" spans="1:1" x14ac:dyDescent="0.2">
      <c r="A52" s="372"/>
    </row>
    <row r="53" spans="1:1" x14ac:dyDescent="0.2">
      <c r="A53" s="368" t="s">
        <v>210</v>
      </c>
    </row>
    <row r="54" spans="1:1" x14ac:dyDescent="0.2">
      <c r="A54" s="369" t="s">
        <v>211</v>
      </c>
    </row>
    <row r="55" spans="1:1" x14ac:dyDescent="0.2">
      <c r="A55" s="370" t="s">
        <v>212</v>
      </c>
    </row>
    <row r="56" spans="1:1" x14ac:dyDescent="0.2">
      <c r="A56" s="371" t="s">
        <v>213</v>
      </c>
    </row>
  </sheetData>
  <mergeCells count="51">
    <mergeCell ref="P1:R1"/>
    <mergeCell ref="N2:O2"/>
    <mergeCell ref="N3:O3"/>
    <mergeCell ref="P2:R2"/>
    <mergeCell ref="P3:R3"/>
    <mergeCell ref="A1:H3"/>
    <mergeCell ref="J1:M1"/>
    <mergeCell ref="J2:M2"/>
    <mergeCell ref="J3:M3"/>
    <mergeCell ref="N1:O1"/>
    <mergeCell ref="D6:I6"/>
    <mergeCell ref="D7:I7"/>
    <mergeCell ref="D8:I8"/>
    <mergeCell ref="D9:I9"/>
    <mergeCell ref="D10:I10"/>
    <mergeCell ref="D17:I17"/>
    <mergeCell ref="D19:I19"/>
    <mergeCell ref="D20:I20"/>
    <mergeCell ref="D21:I21"/>
    <mergeCell ref="D11:I11"/>
    <mergeCell ref="D13:I13"/>
    <mergeCell ref="D14:I14"/>
    <mergeCell ref="D15:I15"/>
    <mergeCell ref="D16:I16"/>
    <mergeCell ref="D34:I34"/>
    <mergeCell ref="D22:I22"/>
    <mergeCell ref="D24:I24"/>
    <mergeCell ref="D25:I25"/>
    <mergeCell ref="D26:I26"/>
    <mergeCell ref="D27:I27"/>
    <mergeCell ref="D41:I41"/>
    <mergeCell ref="D42:I42"/>
    <mergeCell ref="D43:I43"/>
    <mergeCell ref="D44:I44"/>
    <mergeCell ref="D45:I45"/>
    <mergeCell ref="A23:B23"/>
    <mergeCell ref="A29:B29"/>
    <mergeCell ref="A40:B40"/>
    <mergeCell ref="D33:I33"/>
    <mergeCell ref="A4:B4"/>
    <mergeCell ref="A5:B5"/>
    <mergeCell ref="A12:B12"/>
    <mergeCell ref="A18:B18"/>
    <mergeCell ref="D35:I35"/>
    <mergeCell ref="D36:I36"/>
    <mergeCell ref="D37:I37"/>
    <mergeCell ref="D38:I38"/>
    <mergeCell ref="D39:I39"/>
    <mergeCell ref="D28:I28"/>
    <mergeCell ref="D30:I30"/>
    <mergeCell ref="D31:I31"/>
  </mergeCells>
  <conditionalFormatting sqref="C6:C9 C30:C39">
    <cfRule type="containsText" dxfId="23" priority="26" operator="containsText" text="Behind Schedule">
      <formula>NOT(ISERROR(SEARCH("Behind Schedule",C6)))</formula>
    </cfRule>
    <cfRule type="containsText" dxfId="22" priority="27" operator="containsText" text="Planned">
      <formula>NOT(ISERROR(SEARCH("Planned",C6)))</formula>
    </cfRule>
    <cfRule type="containsText" dxfId="21" priority="28" operator="containsText" text="Pending">
      <formula>NOT(ISERROR(SEARCH("Pending",C6)))</formula>
    </cfRule>
  </conditionalFormatting>
  <conditionalFormatting sqref="C6:C9 C30:C39">
    <cfRule type="containsText" dxfId="20" priority="25" operator="containsText" text="NA">
      <formula>NOT(ISERROR(SEARCH("NA",C6)))</formula>
    </cfRule>
  </conditionalFormatting>
  <conditionalFormatting sqref="C10:C11">
    <cfRule type="containsText" dxfId="19" priority="22" operator="containsText" text="Behind Schedule">
      <formula>NOT(ISERROR(SEARCH("Behind Schedule",C10)))</formula>
    </cfRule>
    <cfRule type="containsText" dxfId="18" priority="23" operator="containsText" text="Planned">
      <formula>NOT(ISERROR(SEARCH("Planned",C10)))</formula>
    </cfRule>
    <cfRule type="containsText" dxfId="17" priority="24" operator="containsText" text="Pending">
      <formula>NOT(ISERROR(SEARCH("Pending",C10)))</formula>
    </cfRule>
  </conditionalFormatting>
  <conditionalFormatting sqref="C10:C11">
    <cfRule type="containsText" dxfId="16" priority="21" operator="containsText" text="NA">
      <formula>NOT(ISERROR(SEARCH("NA",C10)))</formula>
    </cfRule>
  </conditionalFormatting>
  <conditionalFormatting sqref="C13:C17">
    <cfRule type="containsText" dxfId="15" priority="18" operator="containsText" text="Behind Schedule">
      <formula>NOT(ISERROR(SEARCH("Behind Schedule",C13)))</formula>
    </cfRule>
    <cfRule type="containsText" dxfId="14" priority="19" operator="containsText" text="Planned">
      <formula>NOT(ISERROR(SEARCH("Planned",C13)))</formula>
    </cfRule>
    <cfRule type="containsText" dxfId="13" priority="20" operator="containsText" text="Pending">
      <formula>NOT(ISERROR(SEARCH("Pending",C13)))</formula>
    </cfRule>
  </conditionalFormatting>
  <conditionalFormatting sqref="C13:C17">
    <cfRule type="containsText" dxfId="12" priority="17" operator="containsText" text="NA">
      <formula>NOT(ISERROR(SEARCH("NA",C13)))</formula>
    </cfRule>
  </conditionalFormatting>
  <conditionalFormatting sqref="C19:C22">
    <cfRule type="containsText" dxfId="11" priority="14" operator="containsText" text="Behind Schedule">
      <formula>NOT(ISERROR(SEARCH("Behind Schedule",C19)))</formula>
    </cfRule>
    <cfRule type="containsText" dxfId="10" priority="15" operator="containsText" text="Planned">
      <formula>NOT(ISERROR(SEARCH("Planned",C19)))</formula>
    </cfRule>
    <cfRule type="containsText" dxfId="9" priority="16" operator="containsText" text="Pending">
      <formula>NOT(ISERROR(SEARCH("Pending",C19)))</formula>
    </cfRule>
  </conditionalFormatting>
  <conditionalFormatting sqref="C19:C22">
    <cfRule type="containsText" dxfId="8" priority="13" operator="containsText" text="NA">
      <formula>NOT(ISERROR(SEARCH("NA",C19)))</formula>
    </cfRule>
  </conditionalFormatting>
  <conditionalFormatting sqref="C24:C28">
    <cfRule type="containsText" dxfId="7" priority="10" operator="containsText" text="Behind Schedule">
      <formula>NOT(ISERROR(SEARCH("Behind Schedule",C24)))</formula>
    </cfRule>
    <cfRule type="containsText" dxfId="6" priority="11" operator="containsText" text="Planned">
      <formula>NOT(ISERROR(SEARCH("Planned",C24)))</formula>
    </cfRule>
    <cfRule type="containsText" dxfId="5" priority="12" operator="containsText" text="Pending">
      <formula>NOT(ISERROR(SEARCH("Pending",C24)))</formula>
    </cfRule>
  </conditionalFormatting>
  <conditionalFormatting sqref="C24:C28">
    <cfRule type="containsText" dxfId="4" priority="9" operator="containsText" text="NA">
      <formula>NOT(ISERROR(SEARCH("NA",C24)))</formula>
    </cfRule>
  </conditionalFormatting>
  <conditionalFormatting sqref="C41:C45">
    <cfRule type="containsText" dxfId="3" priority="2" operator="containsText" text="Behind Schedule">
      <formula>NOT(ISERROR(SEARCH("Behind Schedule",C41)))</formula>
    </cfRule>
    <cfRule type="containsText" dxfId="2" priority="3" operator="containsText" text="Planned">
      <formula>NOT(ISERROR(SEARCH("Planned",C41)))</formula>
    </cfRule>
    <cfRule type="containsText" dxfId="1" priority="4" operator="containsText" text="Pending">
      <formula>NOT(ISERROR(SEARCH("Pending",C41)))</formula>
    </cfRule>
  </conditionalFormatting>
  <conditionalFormatting sqref="C41:C45">
    <cfRule type="containsText" dxfId="0" priority="1" operator="containsText" text="NA">
      <formula>NOT(ISERROR(SEARCH("NA",C41)))</formula>
    </cfRule>
  </conditionalFormatting>
  <dataValidations count="1">
    <dataValidation type="list" allowBlank="1" showInputMessage="1" showErrorMessage="1" sqref="C6:C11 C41:C45 C13:C17 C19:C22 C24:C28 C30:C39" xr:uid="{00000000-0002-0000-0300-000000000000}">
      <formula1>$A$52:$A$56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CQAs and Limits</vt:lpstr>
      <vt:lpstr>Process-HW Scorecard</vt:lpstr>
      <vt:lpstr>Metrology Capability</vt:lpstr>
      <vt:lpstr>Process Development Checklist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paulext@live.nl</cp:lastModifiedBy>
  <dcterms:created xsi:type="dcterms:W3CDTF">2007-12-17T05:37:48Z</dcterms:created>
  <dcterms:modified xsi:type="dcterms:W3CDTF">2021-04-02T18:28:42Z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